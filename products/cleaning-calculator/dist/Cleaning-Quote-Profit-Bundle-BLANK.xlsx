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Quote" sheetId="3" state="visible" r:id="rId3"/>
    <sheet xmlns:r="http://schemas.openxmlformats.org/officeDocument/2006/relationships" name="Examples" sheetId="4" state="visible" r:id="rId4"/>
    <sheet xmlns:r="http://schemas.openxmlformats.org/officeDocument/2006/relationships" name="Job Tracker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12-Month Tracker" sheetId="7" state="visible" r:id="rId7"/>
    <sheet xmlns:r="http://schemas.openxmlformats.org/officeDocument/2006/relationships" name="Client Tracker" sheetId="8" state="visible" r:id="rId8"/>
    <sheet xmlns:r="http://schemas.openxmlformats.org/officeDocument/2006/relationships" name="Follow-Up Templ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0.0"/>
    <numFmt numFmtId="167" formatCode="yyyy-mm-dd"/>
    <numFmt numFmtId="168" formatCode="mmm yyyy"/>
  </numFmts>
  <fonts count="8">
    <font>
      <name val="Calibri"/>
      <family val="2"/>
      <color theme="1"/>
      <sz val="11"/>
      <scheme val="minor"/>
    </font>
    <font>
      <b val="1"/>
      <color rgb="001F3A4D"/>
      <sz val="16"/>
    </font>
    <font>
      <i val="1"/>
      <color rgb="00555555"/>
    </font>
    <font>
      <b val="1"/>
      <color rgb="001F3A4D"/>
    </font>
    <font>
      <b val="1"/>
      <color rgb="00FFFFFF"/>
    </font>
    <font>
      <i val="1"/>
      <color rgb="00777777"/>
    </font>
    <font>
      <b val="1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6D6"/>
      </patternFill>
    </fill>
    <fill>
      <patternFill patternType="solid">
        <fgColor rgb="00EEF2F4"/>
      </patternFill>
    </fill>
    <fill>
      <patternFill patternType="solid">
        <fgColor rgb="00D8EEF1"/>
      </patternFill>
    </fill>
  </fills>
  <borders count="2">
    <border>
      <left/>
      <right/>
      <top/>
      <bottom/>
      <diagonal/>
    </border>
    <border>
      <left style="thin">
        <color rgb="00B8C2C8"/>
      </left>
      <right style="thin">
        <color rgb="00B8C2C8"/>
      </right>
      <top style="thin">
        <color rgb="00B8C2C8"/>
      </top>
      <bottom style="thin">
        <color rgb="00B8C2C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center"/>
    </xf>
    <xf numFmtId="0" fontId="5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" fontId="0" fillId="3" borderId="1" pivotButton="0" quotePrefix="0" xfId="0"/>
    <xf numFmtId="2" fontId="0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0" fontId="3" fillId="0" borderId="0" pivotButton="0" quotePrefix="0" xfId="0"/>
    <xf numFmtId="2" fontId="0" fillId="4" borderId="1" pivotButton="0" quotePrefix="0" xfId="0"/>
    <xf numFmtId="164" fontId="0" fillId="4" borderId="1" pivotButton="0" quotePrefix="0" xfId="0"/>
    <xf numFmtId="0" fontId="6" fillId="0" borderId="1" pivotButton="0" quotePrefix="0" xfId="0"/>
    <xf numFmtId="164" fontId="6" fillId="5" borderId="1" pivotButton="0" quotePrefix="0" xfId="0"/>
    <xf numFmtId="0" fontId="7" fillId="0" borderId="0" applyAlignment="1" pivotButton="0" quotePrefix="0" xfId="0">
      <alignment vertical="top" wrapText="1"/>
    </xf>
    <xf numFmtId="165" fontId="6" fillId="5" borderId="1" pivotButton="0" quotePrefix="0" xfId="0"/>
    <xf numFmtId="165" fontId="0" fillId="4" borderId="1" pivotButton="0" quotePrefix="0" xfId="0"/>
    <xf numFmtId="0" fontId="0" fillId="4" borderId="1" applyAlignment="1" pivotButton="0" quotePrefix="0" xfId="0">
      <alignment vertical="top" wrapText="1"/>
    </xf>
    <xf numFmtId="167" fontId="0" fillId="3" borderId="1" pivotButton="0" quotePrefix="0" xfId="0"/>
    <xf numFmtId="0" fontId="0" fillId="4" borderId="1" pivotButton="0" quotePrefix="0" xfId="0"/>
    <xf numFmtId="1" fontId="6" fillId="5" borderId="1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D5EFD5"/>
        </patternFill>
      </fill>
    </dxf>
    <dxf>
      <fill>
        <patternFill patternType="solid">
          <fgColor rgb="00FBE7B5"/>
        </patternFill>
      </fill>
    </dxf>
    <dxf>
      <fill>
        <patternFill patternType="solid">
          <fgColor rgb="00F8D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Cleaning Business Job Profit &amp; Quote Calculator</t>
        </is>
      </c>
    </row>
    <row r="2">
      <c r="A2" s="2" t="inlineStr">
        <is>
          <t>Start here</t>
        </is>
      </c>
    </row>
    <row r="4" ht="30" customHeight="1">
      <c r="A4" s="3" t="inlineStr">
        <is>
          <t>What this does</t>
        </is>
      </c>
      <c r="B4" s="4" t="inlineStr">
        <is>
          <t>Tells you what to charge so a job actually makes the profit you want, then shows whether the job did.</t>
        </is>
      </c>
    </row>
    <row r="5" ht="48" customHeight="1">
      <c r="A5" s="3" t="inlineStr">
        <is>
          <t>Step 1</t>
        </is>
      </c>
      <c r="B5" s="4" t="inlineStr">
        <is>
          <t>Go to the Settings sheet. Enter your labor cost per hour, overhead %, target margin, mileage cost, recurring discount and minimum price.</t>
        </is>
      </c>
    </row>
    <row r="6" ht="30" customHeight="1">
      <c r="A6" s="3" t="inlineStr">
        <is>
          <t>Step 2</t>
        </is>
      </c>
      <c r="B6" s="4" t="inlineStr">
        <is>
          <t>Go to the Quote sheet. Describe the job in the yellow cells. Quote the price in 'QUOTE THIS PRICE'.</t>
        </is>
      </c>
    </row>
    <row r="7" ht="30" customHeight="1">
      <c r="A7" s="3" t="inlineStr">
        <is>
          <t>Step 3</t>
        </is>
      </c>
      <c r="B7" s="4" t="inlineStr">
        <is>
          <t>See the Examples sheet for three fictional jobs (a recurring home, a move-out deep clean, a small office).</t>
        </is>
      </c>
    </row>
    <row r="8" ht="48" customHeight="1">
      <c r="A8" s="3" t="inlineStr">
        <is>
          <t>Step 4</t>
        </is>
      </c>
      <c r="B8" s="4" t="inlineStr">
        <is>
          <t>After each job, add a row on the Job Tracker with your ACTUAL hours, supplies and miles. Check the Dashboard to see which jobs lost money.</t>
        </is>
      </c>
    </row>
    <row r="9" ht="48" customHeight="1">
      <c r="A9" s="3" t="inlineStr">
        <is>
          <t>Step 5</t>
        </is>
      </c>
      <c r="B9" s="4" t="inlineStr">
        <is>
          <t>Use the Client Tracker for leads and recurring clients, the Follow-Up Templates for messages, and the 12-Month Tracker to compare profit with your goal.</t>
        </is>
      </c>
    </row>
    <row r="10" ht="30" customHeight="1">
      <c r="A10" s="3" t="inlineStr">
        <is>
          <t>Colors</t>
        </is>
      </c>
      <c r="B10" s="4" t="inlineStr">
        <is>
          <t>Yellow = you type here. Gray = calculated, don't type over it. Blue = key results.</t>
        </is>
      </c>
    </row>
    <row r="11" ht="48" customHeight="1">
      <c r="A11" s="3" t="inlineStr">
        <is>
          <t>Margin vs markup</t>
        </is>
      </c>
      <c r="B11" s="4" t="inlineStr">
        <is>
          <t>Margin = profit / price. Markup = profit / cost. Example: a job costs $100. A 40% margin means price = 100 / (1 - 0.40) = $166.67, profit $66.67. That is a 66.7% markup but a 40% margin. This sheet uses margin so your profit % is what you really keep.</t>
        </is>
      </c>
    </row>
    <row r="12" ht="48" customHeight="1">
      <c r="A12" s="3" t="inlineStr">
        <is>
          <t>Google Sheets</t>
        </is>
      </c>
      <c r="B12" s="4" t="inlineStr">
        <is>
          <t>Upload this file to Google Drive and open with Google Sheets, or use File &gt; Import. All formulas are standard and work in both.</t>
        </is>
      </c>
    </row>
    <row r="13" ht="48" customHeight="1">
      <c r="A13" s="3" t="inlineStr">
        <is>
          <t>Not included</t>
        </is>
      </c>
      <c r="B13" s="4" t="inlineStr">
        <is>
          <t>No macros. No tax, payroll or accounting features. This workbook is a planning tool. It is not tax, accounting, legal or financial advice. Check your numbers with your own accountant.</t>
        </is>
      </c>
    </row>
    <row r="14" ht="30" customHeight="1">
      <c r="A14" s="3" t="inlineStr">
        <is>
          <t>Support</t>
        </is>
      </c>
      <c r="B14" s="4" t="inlineStr">
        <is>
          <t>This is a template. It can't know your costs. If a result looks wrong, check your Settings first.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0" customWidth="1" min="3" max="3"/>
  </cols>
  <sheetData>
    <row r="1">
      <c r="A1" s="1" t="inlineStr">
        <is>
          <t>Settings</t>
        </is>
      </c>
    </row>
    <row r="2">
      <c r="A2" s="2" t="inlineStr">
        <is>
          <t>Starter values are filled in so the Examples work. REPLACE them with your own numbers.</t>
        </is>
      </c>
    </row>
    <row r="3">
      <c r="A3" s="5" t="inlineStr">
        <is>
          <t>Setting</t>
        </is>
      </c>
      <c r="B3" s="5" t="inlineStr">
        <is>
          <t>Value</t>
        </is>
      </c>
      <c r="C3" s="5" t="inlineStr">
        <is>
          <t>What it means</t>
        </is>
      </c>
    </row>
    <row r="4" ht="45" customHeight="1">
      <c r="A4" s="6" t="inlineStr">
        <is>
          <t>Labor cost per cleaner-hour</t>
        </is>
      </c>
      <c r="B4" s="7" t="n">
        <v>18</v>
      </c>
      <c r="C4" s="8" t="inlineStr">
        <is>
          <t>What one cleaner costs you per hour: wages PLUS payroll taxes/workers' comp. Pay yourself too.</t>
        </is>
      </c>
    </row>
    <row r="5" ht="45" customHeight="1">
      <c r="A5" s="6" t="inlineStr">
        <is>
          <t>Overhead (% added on top of direct cost)</t>
        </is>
      </c>
      <c r="B5" s="9" t="n">
        <v>0.1</v>
      </c>
      <c r="C5" s="8" t="inlineStr">
        <is>
          <t>Insurance, software, phone, cleaning equipment wear, admin time. 8-15% is common; use your real number.</t>
        </is>
      </c>
    </row>
    <row r="6" ht="45" customHeight="1">
      <c r="A6" s="6" t="inlineStr">
        <is>
          <t>Target profit margin</t>
        </is>
      </c>
      <c r="B6" s="9" t="n">
        <v>0.35</v>
      </c>
      <c r="C6" s="8" t="inlineStr">
        <is>
          <t>Profit as a % of the PRICE (not of cost). 35% margin means $35 of every $100 you charge is profit.</t>
        </is>
      </c>
    </row>
    <row r="7" ht="45" customHeight="1">
      <c r="A7" s="6" t="inlineStr">
        <is>
          <t>Vehicle cost per mile</t>
        </is>
      </c>
      <c r="B7" s="7" t="n">
        <v>0.67</v>
      </c>
      <c r="C7" s="8" t="inlineStr">
        <is>
          <t>Your real cost to drive one mile (fuel, wear, insurance). Check the current IRS mileage rate as a reference.</t>
        </is>
      </c>
    </row>
    <row r="8" ht="45" customHeight="1">
      <c r="A8" s="6" t="inlineStr">
        <is>
          <t>Recurring-client discount</t>
        </is>
      </c>
      <c r="B8" s="9" t="n">
        <v>0.1</v>
      </c>
      <c r="C8" s="8" t="inlineStr">
        <is>
          <t>Discount off the one-time price for recurring clients. Enter 0% for none.</t>
        </is>
      </c>
    </row>
    <row r="9" ht="45" customHeight="1">
      <c r="A9" s="6" t="inlineStr">
        <is>
          <t>Minimum job price</t>
        </is>
      </c>
      <c r="B9" s="7" t="n">
        <v>90</v>
      </c>
      <c r="C9" s="8" t="inlineStr">
        <is>
          <t>Never quote below this, even for a tiny job.</t>
        </is>
      </c>
    </row>
    <row r="11">
      <c r="A11" s="10" t="inlineStr">
        <is>
          <t>This workbook is a planning tool. It is not tax, accounting, legal or financial advice. Check your numbers with your own accountant.</t>
        </is>
      </c>
    </row>
  </sheetData>
  <dataValidations count="3">
    <dataValidation sqref="B6" showDropDown="0" showInputMessage="0" showErrorMessage="1" allowBlank="0" errorTitle="Margin" error="Enter a percentage between 0% and 95%." type="decimal" operator="between">
      <formula1>0</formula1>
      <formula2>0.95</formula2>
    </dataValidation>
    <dataValidation sqref="B5 B8" showDropDown="0" showInputMessage="0" showErrorMessage="1" allowBlank="0" error="Enter a percentage between 0% and 100%." type="decimal" operator="between">
      <formula1>0</formula1>
      <formula2>1</formula2>
    </dataValidation>
    <dataValidation sqref="B4 B7 B9" showDropDown="0" showInputMessage="0" showErrorMessage="1" allowBlank="0" error="Enter a number of 0 or more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60" customWidth="1" min="3" max="3"/>
  </cols>
  <sheetData>
    <row r="1">
      <c r="A1" s="1" t="inlineStr">
        <is>
          <t>Job Quote Calculator</t>
        </is>
      </c>
    </row>
    <row r="2">
      <c r="A2" s="2" t="inlineStr">
        <is>
          <t>Fill the yellow cells. Gray cells calculate. Quote the 'QUOTE THIS PRICE' number.</t>
        </is>
      </c>
    </row>
    <row r="3">
      <c r="A3" s="11" t="inlineStr">
        <is>
          <t>Client / job name</t>
        </is>
      </c>
      <c r="B3" s="12" t="n"/>
    </row>
    <row r="4">
      <c r="A4" s="11" t="inlineStr">
        <is>
          <t>Job type (One-time or Recurring)</t>
        </is>
      </c>
      <c r="B4" s="12" t="n"/>
    </row>
    <row r="5">
      <c r="A5" s="11" t="inlineStr">
        <is>
          <t>Number of cleaners</t>
        </is>
      </c>
      <c r="B5" s="13" t="n"/>
    </row>
    <row r="6">
      <c r="A6" s="11" t="inlineStr">
        <is>
          <t>Hours on site per cleaner</t>
        </is>
      </c>
      <c r="B6" s="14" t="n"/>
    </row>
    <row r="7">
      <c r="A7" s="11" t="inlineStr">
        <is>
          <t>Supplies &amp; materials for this visit ($)</t>
        </is>
      </c>
      <c r="B7" s="15" t="n"/>
    </row>
    <row r="8">
      <c r="A8" s="11" t="inlineStr">
        <is>
          <t>Round-trip miles (all vehicles)</t>
        </is>
      </c>
      <c r="B8" s="16" t="n"/>
    </row>
    <row r="9">
      <c r="A9" s="11" t="inlineStr">
        <is>
          <t>Other direct costs ($, e.g. equipment rental)</t>
        </is>
      </c>
      <c r="B9" s="15" t="n"/>
    </row>
    <row r="10">
      <c r="A10" s="11" t="inlineStr">
        <is>
          <t>Visits per month (recurring jobs only)</t>
        </is>
      </c>
      <c r="B10" s="13" t="n"/>
    </row>
    <row r="12">
      <c r="A12" s="17" t="inlineStr">
        <is>
          <t>RESULTS</t>
        </is>
      </c>
    </row>
    <row r="13">
      <c r="A13" s="11" t="inlineStr">
        <is>
          <t>Total labor hours</t>
        </is>
      </c>
      <c r="B13" s="18">
        <f>B5*B6</f>
        <v/>
      </c>
    </row>
    <row r="14">
      <c r="A14" s="11" t="inlineStr">
        <is>
          <t>Labor cost</t>
        </is>
      </c>
      <c r="B14" s="19">
        <f>B13*Settings!$B$4</f>
        <v/>
      </c>
    </row>
    <row r="15">
      <c r="A15" s="11" t="inlineStr">
        <is>
          <t>Travel cost</t>
        </is>
      </c>
      <c r="B15" s="19">
        <f>B8*Settings!$B$7</f>
        <v/>
      </c>
    </row>
    <row r="16">
      <c r="A16" s="11" t="inlineStr">
        <is>
          <t>Direct cost (labor + travel + supplies + other)</t>
        </is>
      </c>
      <c r="B16" s="19">
        <f>B14+B15+B7+B9</f>
        <v/>
      </c>
    </row>
    <row r="17">
      <c r="A17" s="11" t="inlineStr">
        <is>
          <t>Overhead</t>
        </is>
      </c>
      <c r="B17" s="19">
        <f>B16*Settings!$B$5</f>
        <v/>
      </c>
    </row>
    <row r="18">
      <c r="A18" s="20" t="inlineStr">
        <is>
          <t>TOTAL COST to do this visit</t>
        </is>
      </c>
      <c r="B18" s="21">
        <f>B16+B17</f>
        <v/>
      </c>
    </row>
    <row r="19">
      <c r="A19" s="11" t="inlineStr">
        <is>
          <t>Price needed to hit your target margin</t>
        </is>
      </c>
      <c r="B19" s="19">
        <f>IF(Settings!$B$6&gt;=1,0,B18/(1-Settings!$B$6))</f>
        <v/>
      </c>
    </row>
    <row r="20">
      <c r="A20" s="11" t="inlineStr">
        <is>
          <t>Recurring discount applied</t>
        </is>
      </c>
      <c r="B20" s="19">
        <f>IF(B4="Recurring",B19*Settings!$B$8,0)</f>
        <v/>
      </c>
    </row>
    <row r="21">
      <c r="A21" s="20" t="inlineStr">
        <is>
          <t>QUOTE THIS PRICE (per visit)</t>
        </is>
      </c>
      <c r="B21" s="21">
        <f>MAX(Settings!$B$9,ROUNDUP(B19-B20,0))</f>
        <v/>
      </c>
      <c r="C21" s="22" t="inlineStr">
        <is>
          <t>Rounded up to the next whole dollar and never below your minimum job price.</t>
        </is>
      </c>
    </row>
    <row r="22">
      <c r="A22" s="20" t="inlineStr">
        <is>
          <t>Profit per visit</t>
        </is>
      </c>
      <c r="B22" s="21">
        <f>B21-B18</f>
        <v/>
      </c>
    </row>
    <row r="23">
      <c r="A23" s="20" t="inlineStr">
        <is>
          <t>Profit margin (profit / price)</t>
        </is>
      </c>
      <c r="B23" s="23">
        <f>IF(B21=0,0,B22/B21)</f>
        <v/>
      </c>
      <c r="C23" s="22" t="inlineStr">
        <is>
          <t>Margin = profit / PRICE. This is what you keep from every dollar charged.</t>
        </is>
      </c>
    </row>
    <row r="24">
      <c r="A24" s="11" t="inlineStr">
        <is>
          <t>Markup on cost (profit / cost)</t>
        </is>
      </c>
      <c r="B24" s="24">
        <f>IF(B18=0,0,B22/B18)</f>
        <v/>
      </c>
      <c r="C24" s="22" t="inlineStr">
        <is>
          <t>Markup = profit / COST. A 50% markup is only a 33% margin. Don't mix them up.</t>
        </is>
      </c>
    </row>
    <row r="25">
      <c r="A25" s="11" t="inlineStr">
        <is>
          <t>Profit per labor hour</t>
        </is>
      </c>
      <c r="B25" s="19">
        <f>IF(B13=0,0,B22/B13)</f>
        <v/>
      </c>
      <c r="C25" s="22" t="inlineStr">
        <is>
          <t>Profit left after ALL costs, divided by labor hours.</t>
        </is>
      </c>
    </row>
    <row r="26">
      <c r="A26" s="11" t="inlineStr">
        <is>
          <t>Monthly revenue (recurring)</t>
        </is>
      </c>
      <c r="B26" s="19">
        <f>IF(B4="Recurring",B21*B10,0)</f>
        <v/>
      </c>
    </row>
    <row r="27">
      <c r="A27" s="11" t="inlineStr">
        <is>
          <t>Monthly profit (recurring)</t>
        </is>
      </c>
      <c r="B27" s="19">
        <f>IF(B4="Recurring",B22*B10,0)</f>
        <v/>
      </c>
    </row>
    <row r="28" ht="48" customHeight="1">
      <c r="A28" s="11" t="inlineStr">
        <is>
          <t>Check</t>
        </is>
      </c>
      <c r="B28" s="25">
        <f>IF(Settings!$B$6&gt;=1,"Fix target margin on Settings (must be under 100%)",IF(B13=0,"Enter cleaners and hours to get a result",IF(B22&lt;0,"LOSING MONEY - raise the price",IF(B23&lt;Settings!$B$6-0.0001,"Below target margin because of the recurring discount - fine if intended","OK - at or above target margin"))))</f>
        <v/>
      </c>
    </row>
    <row r="30">
      <c r="A30" s="10" t="inlineStr">
        <is>
          <t>This workbook is a planning tool. It is not tax, accounting, legal or financial advice. Check your numbers with your own accountant.</t>
        </is>
      </c>
    </row>
  </sheetData>
  <conditionalFormatting sqref="B28">
    <cfRule type="expression" priority="1" dxfId="0">
      <formula>LEFT(B28,2)="OK"</formula>
    </cfRule>
    <cfRule type="expression" priority="2" dxfId="1">
      <formula>LEFT(B28,5)="Below"</formula>
    </cfRule>
    <cfRule type="expression" priority="3" dxfId="2">
      <formula>AND(LEFT(B28,2)&lt;&gt;"OK",LEFT(B28,5)&lt;&gt;"Below")</formula>
    </cfRule>
  </conditionalFormatting>
  <dataValidations count="2">
    <dataValidation sqref="B4" showDropDown="0" showInputMessage="0" showErrorMessage="1" allowBlank="1" error="Choose One-time or Recurring." type="list">
      <formula1>"One-time,Recurring"</formula1>
    </dataValidation>
    <dataValidation sqref="B5 B6 B7 B8 B9 B10" showDropDown="0" showInputMessage="0" showErrorMessage="1" allowBlank="1" error="Enter a number of 0 or more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Three example jobs (fictional)</t>
        </is>
      </c>
    </row>
    <row r="2">
      <c r="A2" s="2" t="inlineStr">
        <is>
          <t>Same math as the Quote sheet, using your Settings. Change Settings to see prices move.</t>
        </is>
      </c>
    </row>
    <row r="3">
      <c r="A3" s="11" t="inlineStr">
        <is>
          <t>Client / job name</t>
        </is>
      </c>
      <c r="B3" s="12" t="inlineStr">
        <is>
          <t>Standard 3BR/2BA - biweekly</t>
        </is>
      </c>
      <c r="C3" s="12" t="inlineStr">
        <is>
          <t>Move-out deep clean - 4BR</t>
        </is>
      </c>
      <c r="D3" s="12" t="inlineStr">
        <is>
          <t>Small office - nightly, 5x/week</t>
        </is>
      </c>
    </row>
    <row r="4">
      <c r="A4" s="11" t="inlineStr">
        <is>
          <t>Job type (One-time or Recurring)</t>
        </is>
      </c>
      <c r="B4" s="12" t="inlineStr">
        <is>
          <t>Recurring</t>
        </is>
      </c>
      <c r="C4" s="12" t="inlineStr">
        <is>
          <t>One-time</t>
        </is>
      </c>
      <c r="D4" s="12" t="inlineStr">
        <is>
          <t>Recurring</t>
        </is>
      </c>
    </row>
    <row r="5">
      <c r="A5" s="11" t="inlineStr">
        <is>
          <t>Number of cleaners</t>
        </is>
      </c>
      <c r="B5" s="13" t="n">
        <v>2</v>
      </c>
      <c r="C5" s="13" t="n">
        <v>3</v>
      </c>
      <c r="D5" s="13" t="n">
        <v>1</v>
      </c>
    </row>
    <row r="6">
      <c r="A6" s="11" t="inlineStr">
        <is>
          <t>Hours on site per cleaner</t>
        </is>
      </c>
      <c r="B6" s="14" t="n">
        <v>2</v>
      </c>
      <c r="C6" s="14" t="n">
        <v>3</v>
      </c>
      <c r="D6" s="14" t="n">
        <v>1.5</v>
      </c>
    </row>
    <row r="7">
      <c r="A7" s="11" t="inlineStr">
        <is>
          <t>Supplies &amp; materials for this visit ($)</t>
        </is>
      </c>
      <c r="B7" s="15" t="n">
        <v>6</v>
      </c>
      <c r="C7" s="15" t="n">
        <v>25</v>
      </c>
      <c r="D7" s="15" t="n">
        <v>5</v>
      </c>
    </row>
    <row r="8">
      <c r="A8" s="11" t="inlineStr">
        <is>
          <t>Round-trip miles (all vehicles)</t>
        </is>
      </c>
      <c r="B8" s="16" t="n">
        <v>14</v>
      </c>
      <c r="C8" s="16" t="n">
        <v>22</v>
      </c>
      <c r="D8" s="16" t="n">
        <v>8</v>
      </c>
    </row>
    <row r="9">
      <c r="A9" s="11" t="inlineStr">
        <is>
          <t>Other direct costs ($, e.g. equipment rental)</t>
        </is>
      </c>
      <c r="B9" s="15" t="n">
        <v>0</v>
      </c>
      <c r="C9" s="15" t="n">
        <v>15</v>
      </c>
      <c r="D9" s="15" t="n">
        <v>0</v>
      </c>
    </row>
    <row r="10">
      <c r="A10" s="11" t="inlineStr">
        <is>
          <t>Visits per month (recurring jobs only)</t>
        </is>
      </c>
      <c r="B10" s="13" t="n">
        <v>2</v>
      </c>
      <c r="C10" s="13" t="n"/>
      <c r="D10" s="13" t="n">
        <v>22</v>
      </c>
    </row>
    <row r="12">
      <c r="A12" s="17" t="inlineStr">
        <is>
          <t>RESULTS</t>
        </is>
      </c>
    </row>
    <row r="13">
      <c r="A13" s="11" t="inlineStr">
        <is>
          <t>Total labor hours</t>
        </is>
      </c>
      <c r="B13" s="18">
        <f>B5*B6</f>
        <v/>
      </c>
      <c r="C13" s="18">
        <f>C5*C6</f>
        <v/>
      </c>
      <c r="D13" s="18">
        <f>D5*D6</f>
        <v/>
      </c>
    </row>
    <row r="14">
      <c r="A14" s="11" t="inlineStr">
        <is>
          <t>Labor cost</t>
        </is>
      </c>
      <c r="B14" s="19">
        <f>B13*Settings!$B$4</f>
        <v/>
      </c>
      <c r="C14" s="19">
        <f>C13*Settings!$B$4</f>
        <v/>
      </c>
      <c r="D14" s="19">
        <f>D13*Settings!$B$4</f>
        <v/>
      </c>
    </row>
    <row r="15">
      <c r="A15" s="11" t="inlineStr">
        <is>
          <t>Travel cost</t>
        </is>
      </c>
      <c r="B15" s="19">
        <f>B8*Settings!$B$7</f>
        <v/>
      </c>
      <c r="C15" s="19">
        <f>C8*Settings!$B$7</f>
        <v/>
      </c>
      <c r="D15" s="19">
        <f>D8*Settings!$B$7</f>
        <v/>
      </c>
    </row>
    <row r="16">
      <c r="A16" s="11" t="inlineStr">
        <is>
          <t>Direct cost (labor + travel + supplies + other)</t>
        </is>
      </c>
      <c r="B16" s="19">
        <f>B14+B15+B7+B9</f>
        <v/>
      </c>
      <c r="C16" s="19">
        <f>C14+C15+C7+C9</f>
        <v/>
      </c>
      <c r="D16" s="19">
        <f>D14+D15+D7+D9</f>
        <v/>
      </c>
    </row>
    <row r="17">
      <c r="A17" s="11" t="inlineStr">
        <is>
          <t>Overhead</t>
        </is>
      </c>
      <c r="B17" s="19">
        <f>B16*Settings!$B$5</f>
        <v/>
      </c>
      <c r="C17" s="19">
        <f>C16*Settings!$B$5</f>
        <v/>
      </c>
      <c r="D17" s="19">
        <f>D16*Settings!$B$5</f>
        <v/>
      </c>
    </row>
    <row r="18">
      <c r="A18" s="20" t="inlineStr">
        <is>
          <t>TOTAL COST to do this visit</t>
        </is>
      </c>
      <c r="B18" s="21">
        <f>B16+B17</f>
        <v/>
      </c>
      <c r="C18" s="21">
        <f>C16+C17</f>
        <v/>
      </c>
      <c r="D18" s="21">
        <f>D16+D17</f>
        <v/>
      </c>
    </row>
    <row r="19">
      <c r="A19" s="11" t="inlineStr">
        <is>
          <t>Price needed to hit your target margin</t>
        </is>
      </c>
      <c r="B19" s="19">
        <f>IF(Settings!$B$6&gt;=1,0,B18/(1-Settings!$B$6))</f>
        <v/>
      </c>
      <c r="C19" s="19">
        <f>IF(Settings!$B$6&gt;=1,0,C18/(1-Settings!$B$6))</f>
        <v/>
      </c>
      <c r="D19" s="19">
        <f>IF(Settings!$B$6&gt;=1,0,D18/(1-Settings!$B$6))</f>
        <v/>
      </c>
    </row>
    <row r="20">
      <c r="A20" s="11" t="inlineStr">
        <is>
          <t>Recurring discount applied</t>
        </is>
      </c>
      <c r="B20" s="19">
        <f>IF(B4="Recurring",B19*Settings!$B$8,0)</f>
        <v/>
      </c>
      <c r="C20" s="19">
        <f>IF(C4="Recurring",C19*Settings!$B$8,0)</f>
        <v/>
      </c>
      <c r="D20" s="19">
        <f>IF(D4="Recurring",D19*Settings!$B$8,0)</f>
        <v/>
      </c>
    </row>
    <row r="21">
      <c r="A21" s="20" t="inlineStr">
        <is>
          <t>QUOTE THIS PRICE (per visit)</t>
        </is>
      </c>
      <c r="B21" s="21">
        <f>MAX(Settings!$B$9,ROUNDUP(B19-B20,0))</f>
        <v/>
      </c>
      <c r="C21" s="21">
        <f>MAX(Settings!$B$9,ROUNDUP(C19-C20,0))</f>
        <v/>
      </c>
      <c r="D21" s="21">
        <f>MAX(Settings!$B$9,ROUNDUP(D19-D20,0))</f>
        <v/>
      </c>
    </row>
    <row r="22">
      <c r="A22" s="20" t="inlineStr">
        <is>
          <t>Profit per visit</t>
        </is>
      </c>
      <c r="B22" s="21">
        <f>B21-B18</f>
        <v/>
      </c>
      <c r="C22" s="21">
        <f>C21-C18</f>
        <v/>
      </c>
      <c r="D22" s="21">
        <f>D21-D18</f>
        <v/>
      </c>
    </row>
    <row r="23">
      <c r="A23" s="20" t="inlineStr">
        <is>
          <t>Profit margin (profit / price)</t>
        </is>
      </c>
      <c r="B23" s="23">
        <f>IF(B21=0,0,B22/B21)</f>
        <v/>
      </c>
      <c r="C23" s="23">
        <f>IF(C21=0,0,C22/C21)</f>
        <v/>
      </c>
      <c r="D23" s="23">
        <f>IF(D21=0,0,D22/D21)</f>
        <v/>
      </c>
    </row>
    <row r="24">
      <c r="A24" s="11" t="inlineStr">
        <is>
          <t>Markup on cost (profit / cost)</t>
        </is>
      </c>
      <c r="B24" s="24">
        <f>IF(B18=0,0,B22/B18)</f>
        <v/>
      </c>
      <c r="C24" s="24">
        <f>IF(C18=0,0,C22/C18)</f>
        <v/>
      </c>
      <c r="D24" s="24">
        <f>IF(D18=0,0,D22/D18)</f>
        <v/>
      </c>
    </row>
    <row r="25">
      <c r="A25" s="11" t="inlineStr">
        <is>
          <t>Profit per labor hour</t>
        </is>
      </c>
      <c r="B25" s="19">
        <f>IF(B13=0,0,B22/B13)</f>
        <v/>
      </c>
      <c r="C25" s="19">
        <f>IF(C13=0,0,C22/C13)</f>
        <v/>
      </c>
      <c r="D25" s="19">
        <f>IF(D13=0,0,D22/D13)</f>
        <v/>
      </c>
    </row>
    <row r="26">
      <c r="A26" s="11" t="inlineStr">
        <is>
          <t>Monthly revenue (recurring)</t>
        </is>
      </c>
      <c r="B26" s="19">
        <f>IF(B4="Recurring",B21*B10,0)</f>
        <v/>
      </c>
      <c r="C26" s="19">
        <f>IF(C4="Recurring",C21*C10,0)</f>
        <v/>
      </c>
      <c r="D26" s="19">
        <f>IF(D4="Recurring",D21*D10,0)</f>
        <v/>
      </c>
    </row>
    <row r="27">
      <c r="A27" s="11" t="inlineStr">
        <is>
          <t>Monthly profit (recurring)</t>
        </is>
      </c>
      <c r="B27" s="19">
        <f>IF(B4="Recurring",B22*B10,0)</f>
        <v/>
      </c>
      <c r="C27" s="19">
        <f>IF(C4="Recurring",C22*C10,0)</f>
        <v/>
      </c>
      <c r="D27" s="19">
        <f>IF(D4="Recurring",D22*D10,0)</f>
        <v/>
      </c>
    </row>
    <row r="28" ht="48" customHeight="1">
      <c r="A28" s="11" t="inlineStr">
        <is>
          <t>Check</t>
        </is>
      </c>
      <c r="B28" s="25">
        <f>IF(Settings!$B$6&gt;=1,"Fix target margin on Settings (must be under 100%)",IF(B13=0,"Enter cleaners and hours to get a result",IF(B22&lt;0,"LOSING MONEY - raise the price",IF(B23&lt;Settings!$B$6-0.0001,"Below target margin because of the recurring discount - fine if intended","OK - at or above target margin"))))</f>
        <v/>
      </c>
      <c r="C28" s="25">
        <f>IF(Settings!$B$6&gt;=1,"Fix target margin on Settings (must be under 100%)",IF(C13=0,"Enter cleaners and hours to get a result",IF(C22&lt;0,"LOSING MONEY - raise the price",IF(C23&lt;Settings!$B$6-0.0001,"Below target margin because of the recurring discount - fine if intended","OK - at or above target margin"))))</f>
        <v/>
      </c>
      <c r="D28" s="25">
        <f>IF(Settings!$B$6&gt;=1,"Fix target margin on Settings (must be under 100%)",IF(D13=0,"Enter cleaners and hours to get a result",IF(D22&lt;0,"LOSING MONEY - raise the price",IF(D23&lt;Settings!$B$6-0.0001,"Below target margin because of the recurring discount - fine if intended","OK - at or above target margin"))))</f>
        <v/>
      </c>
    </row>
  </sheetData>
  <conditionalFormatting sqref="B28:D28">
    <cfRule type="expression" priority="1" dxfId="0">
      <formula>LEFT(B28,2)="OK"</formula>
    </cfRule>
    <cfRule type="expression" priority="2" dxfId="1">
      <formula>LEFT(B28,5)="Below"</formula>
    </cfRule>
    <cfRule type="expression" priority="3" dxfId="2">
      <formula>AND(LEFT(B28,2)&lt;&gt;"OK",LEFT(B28,5)&lt;&gt;"Below")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6" customWidth="1" min="4" max="4"/>
    <col width="14" customWidth="1" min="5" max="5"/>
    <col width="13" customWidth="1" min="6" max="6"/>
    <col width="11" customWidth="1" min="7" max="7"/>
    <col width="13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40" customWidth="1" min="14" max="14"/>
  </cols>
  <sheetData>
    <row r="1">
      <c r="A1" s="1" t="inlineStr">
        <is>
          <t>Job Tracker</t>
        </is>
      </c>
    </row>
    <row r="2">
      <c r="A2" s="2" t="inlineStr">
        <is>
          <t>One row per completed job. Enter the quote and your ACTUAL numbers. Gray columns calculate.</t>
        </is>
      </c>
    </row>
    <row r="4" ht="45" customHeight="1">
      <c r="A4" s="5" t="inlineStr">
        <is>
          <t>Date</t>
        </is>
      </c>
      <c r="B4" s="5" t="inlineStr">
        <is>
          <t>Client / job</t>
        </is>
      </c>
      <c r="C4" s="5" t="inlineStr">
        <is>
          <t>Price charged</t>
        </is>
      </c>
      <c r="D4" s="5" t="inlineStr">
        <is>
          <t>Estimated cost (from quote)</t>
        </is>
      </c>
      <c r="E4" s="5" t="inlineStr">
        <is>
          <t>Actual labor hours (total)</t>
        </is>
      </c>
      <c r="F4" s="5" t="inlineStr">
        <is>
          <t>Actual supplies ($)</t>
        </is>
      </c>
      <c r="G4" s="5" t="inlineStr">
        <is>
          <t>Actual miles</t>
        </is>
      </c>
      <c r="H4" s="5" t="inlineStr">
        <is>
          <t>Other costs ($)</t>
        </is>
      </c>
      <c r="I4" s="5" t="inlineStr">
        <is>
          <t>Actual total cost</t>
        </is>
      </c>
      <c r="J4" s="5" t="inlineStr">
        <is>
          <t>Actual profit</t>
        </is>
      </c>
      <c r="K4" s="5" t="inlineStr">
        <is>
          <t>Actual margin</t>
        </is>
      </c>
      <c r="L4" s="5" t="inlineStr">
        <is>
          <t>Planned profit</t>
        </is>
      </c>
      <c r="M4" s="5" t="inlineStr">
        <is>
          <t>Profit vs plan</t>
        </is>
      </c>
      <c r="N4" s="5" t="inlineStr">
        <is>
          <t>Check</t>
        </is>
      </c>
    </row>
    <row r="5">
      <c r="A5" s="26" t="n"/>
      <c r="B5" s="12" t="n"/>
      <c r="C5" s="15" t="n"/>
      <c r="D5" s="15" t="n"/>
      <c r="E5" s="14" t="n"/>
      <c r="F5" s="15" t="n"/>
      <c r="G5" s="16" t="n"/>
      <c r="H5" s="15" t="n"/>
      <c r="I5" s="19">
        <f>IF(C5="","",(E5*Settings!$B$4+F5+G5*Settings!$B$7+H5)*(1+Settings!$B$5))</f>
        <v/>
      </c>
      <c r="J5" s="19">
        <f>IF(C5="","",C5-I5)</f>
        <v/>
      </c>
      <c r="K5" s="24">
        <f>IF(C5="","",IF(C5=0,0,J5/C5))</f>
        <v/>
      </c>
      <c r="L5" s="19">
        <f>IF(C5="","",C5-D5)</f>
        <v/>
      </c>
      <c r="M5" s="19">
        <f>IF(C5="","",J5-L5)</f>
        <v/>
      </c>
      <c r="N5" s="27">
        <f>IF(C5="","",IF(J5&lt;0,"LOST MONEY",IF(K5&lt;Settings!$B$6-0.0001,"Below target margin","OK")))</f>
        <v/>
      </c>
    </row>
    <row r="6">
      <c r="A6" s="26" t="n"/>
      <c r="B6" s="12" t="n"/>
      <c r="C6" s="15" t="n"/>
      <c r="D6" s="15" t="n"/>
      <c r="E6" s="14" t="n"/>
      <c r="F6" s="15" t="n"/>
      <c r="G6" s="16" t="n"/>
      <c r="H6" s="15" t="n"/>
      <c r="I6" s="19">
        <f>IF(C6="","",(E6*Settings!$B$4+F6+G6*Settings!$B$7+H6)*(1+Settings!$B$5))</f>
        <v/>
      </c>
      <c r="J6" s="19">
        <f>IF(C6="","",C6-I6)</f>
        <v/>
      </c>
      <c r="K6" s="24">
        <f>IF(C6="","",IF(C6=0,0,J6/C6))</f>
        <v/>
      </c>
      <c r="L6" s="19">
        <f>IF(C6="","",C6-D6)</f>
        <v/>
      </c>
      <c r="M6" s="19">
        <f>IF(C6="","",J6-L6)</f>
        <v/>
      </c>
      <c r="N6" s="27">
        <f>IF(C6="","",IF(J6&lt;0,"LOST MONEY",IF(K6&lt;Settings!$B$6-0.0001,"Below target margin","OK")))</f>
        <v/>
      </c>
    </row>
    <row r="7">
      <c r="A7" s="26" t="n"/>
      <c r="B7" s="12" t="n"/>
      <c r="C7" s="15" t="n"/>
      <c r="D7" s="15" t="n"/>
      <c r="E7" s="14" t="n"/>
      <c r="F7" s="15" t="n"/>
      <c r="G7" s="16" t="n"/>
      <c r="H7" s="15" t="n"/>
      <c r="I7" s="19">
        <f>IF(C7="","",(E7*Settings!$B$4+F7+G7*Settings!$B$7+H7)*(1+Settings!$B$5))</f>
        <v/>
      </c>
      <c r="J7" s="19">
        <f>IF(C7="","",C7-I7)</f>
        <v/>
      </c>
      <c r="K7" s="24">
        <f>IF(C7="","",IF(C7=0,0,J7/C7))</f>
        <v/>
      </c>
      <c r="L7" s="19">
        <f>IF(C7="","",C7-D7)</f>
        <v/>
      </c>
      <c r="M7" s="19">
        <f>IF(C7="","",J7-L7)</f>
        <v/>
      </c>
      <c r="N7" s="27">
        <f>IF(C7="","",IF(J7&lt;0,"LOST MONEY",IF(K7&lt;Settings!$B$6-0.0001,"Below target margin","OK")))</f>
        <v/>
      </c>
    </row>
    <row r="8">
      <c r="A8" s="26" t="n"/>
      <c r="B8" s="12" t="n"/>
      <c r="C8" s="15" t="n"/>
      <c r="D8" s="15" t="n"/>
      <c r="E8" s="14" t="n"/>
      <c r="F8" s="15" t="n"/>
      <c r="G8" s="16" t="n"/>
      <c r="H8" s="15" t="n"/>
      <c r="I8" s="19">
        <f>IF(C8="","",(E8*Settings!$B$4+F8+G8*Settings!$B$7+H8)*(1+Settings!$B$5))</f>
        <v/>
      </c>
      <c r="J8" s="19">
        <f>IF(C8="","",C8-I8)</f>
        <v/>
      </c>
      <c r="K8" s="24">
        <f>IF(C8="","",IF(C8=0,0,J8/C8))</f>
        <v/>
      </c>
      <c r="L8" s="19">
        <f>IF(C8="","",C8-D8)</f>
        <v/>
      </c>
      <c r="M8" s="19">
        <f>IF(C8="","",J8-L8)</f>
        <v/>
      </c>
      <c r="N8" s="27">
        <f>IF(C8="","",IF(J8&lt;0,"LOST MONEY",IF(K8&lt;Settings!$B$6-0.0001,"Below target margin","OK")))</f>
        <v/>
      </c>
    </row>
    <row r="9">
      <c r="A9" s="26" t="n"/>
      <c r="B9" s="12" t="n"/>
      <c r="C9" s="15" t="n"/>
      <c r="D9" s="15" t="n"/>
      <c r="E9" s="14" t="n"/>
      <c r="F9" s="15" t="n"/>
      <c r="G9" s="16" t="n"/>
      <c r="H9" s="15" t="n"/>
      <c r="I9" s="19">
        <f>IF(C9="","",(E9*Settings!$B$4+F9+G9*Settings!$B$7+H9)*(1+Settings!$B$5))</f>
        <v/>
      </c>
      <c r="J9" s="19">
        <f>IF(C9="","",C9-I9)</f>
        <v/>
      </c>
      <c r="K9" s="24">
        <f>IF(C9="","",IF(C9=0,0,J9/C9))</f>
        <v/>
      </c>
      <c r="L9" s="19">
        <f>IF(C9="","",C9-D9)</f>
        <v/>
      </c>
      <c r="M9" s="19">
        <f>IF(C9="","",J9-L9)</f>
        <v/>
      </c>
      <c r="N9" s="27">
        <f>IF(C9="","",IF(J9&lt;0,"LOST MONEY",IF(K9&lt;Settings!$B$6-0.0001,"Below target margin","OK")))</f>
        <v/>
      </c>
    </row>
    <row r="10">
      <c r="A10" s="26" t="n"/>
      <c r="B10" s="12" t="n"/>
      <c r="C10" s="15" t="n"/>
      <c r="D10" s="15" t="n"/>
      <c r="E10" s="14" t="n"/>
      <c r="F10" s="15" t="n"/>
      <c r="G10" s="16" t="n"/>
      <c r="H10" s="15" t="n"/>
      <c r="I10" s="19">
        <f>IF(C10="","",(E10*Settings!$B$4+F10+G10*Settings!$B$7+H10)*(1+Settings!$B$5))</f>
        <v/>
      </c>
      <c r="J10" s="19">
        <f>IF(C10="","",C10-I10)</f>
        <v/>
      </c>
      <c r="K10" s="24">
        <f>IF(C10="","",IF(C10=0,0,J10/C10))</f>
        <v/>
      </c>
      <c r="L10" s="19">
        <f>IF(C10="","",C10-D10)</f>
        <v/>
      </c>
      <c r="M10" s="19">
        <f>IF(C10="","",J10-L10)</f>
        <v/>
      </c>
      <c r="N10" s="27">
        <f>IF(C10="","",IF(J10&lt;0,"LOST MONEY",IF(K10&lt;Settings!$B$6-0.0001,"Below target margin","OK")))</f>
        <v/>
      </c>
    </row>
    <row r="11">
      <c r="A11" s="26" t="n"/>
      <c r="B11" s="12" t="n"/>
      <c r="C11" s="15" t="n"/>
      <c r="D11" s="15" t="n"/>
      <c r="E11" s="14" t="n"/>
      <c r="F11" s="15" t="n"/>
      <c r="G11" s="16" t="n"/>
      <c r="H11" s="15" t="n"/>
      <c r="I11" s="19">
        <f>IF(C11="","",(E11*Settings!$B$4+F11+G11*Settings!$B$7+H11)*(1+Settings!$B$5))</f>
        <v/>
      </c>
      <c r="J11" s="19">
        <f>IF(C11="","",C11-I11)</f>
        <v/>
      </c>
      <c r="K11" s="24">
        <f>IF(C11="","",IF(C11=0,0,J11/C11))</f>
        <v/>
      </c>
      <c r="L11" s="19">
        <f>IF(C11="","",C11-D11)</f>
        <v/>
      </c>
      <c r="M11" s="19">
        <f>IF(C11="","",J11-L11)</f>
        <v/>
      </c>
      <c r="N11" s="27">
        <f>IF(C11="","",IF(J11&lt;0,"LOST MONEY",IF(K11&lt;Settings!$B$6-0.0001,"Below target margin","OK")))</f>
        <v/>
      </c>
    </row>
    <row r="12">
      <c r="A12" s="26" t="n"/>
      <c r="B12" s="12" t="n"/>
      <c r="C12" s="15" t="n"/>
      <c r="D12" s="15" t="n"/>
      <c r="E12" s="14" t="n"/>
      <c r="F12" s="15" t="n"/>
      <c r="G12" s="16" t="n"/>
      <c r="H12" s="15" t="n"/>
      <c r="I12" s="19">
        <f>IF(C12="","",(E12*Settings!$B$4+F12+G12*Settings!$B$7+H12)*(1+Settings!$B$5))</f>
        <v/>
      </c>
      <c r="J12" s="19">
        <f>IF(C12="","",C12-I12)</f>
        <v/>
      </c>
      <c r="K12" s="24">
        <f>IF(C12="","",IF(C12=0,0,J12/C12))</f>
        <v/>
      </c>
      <c r="L12" s="19">
        <f>IF(C12="","",C12-D12)</f>
        <v/>
      </c>
      <c r="M12" s="19">
        <f>IF(C12="","",J12-L12)</f>
        <v/>
      </c>
      <c r="N12" s="27">
        <f>IF(C12="","",IF(J12&lt;0,"LOST MONEY",IF(K12&lt;Settings!$B$6-0.0001,"Below target margin","OK")))</f>
        <v/>
      </c>
    </row>
    <row r="13">
      <c r="A13" s="26" t="n"/>
      <c r="B13" s="12" t="n"/>
      <c r="C13" s="15" t="n"/>
      <c r="D13" s="15" t="n"/>
      <c r="E13" s="14" t="n"/>
      <c r="F13" s="15" t="n"/>
      <c r="G13" s="16" t="n"/>
      <c r="H13" s="15" t="n"/>
      <c r="I13" s="19">
        <f>IF(C13="","",(E13*Settings!$B$4+F13+G13*Settings!$B$7+H13)*(1+Settings!$B$5))</f>
        <v/>
      </c>
      <c r="J13" s="19">
        <f>IF(C13="","",C13-I13)</f>
        <v/>
      </c>
      <c r="K13" s="24">
        <f>IF(C13="","",IF(C13=0,0,J13/C13))</f>
        <v/>
      </c>
      <c r="L13" s="19">
        <f>IF(C13="","",C13-D13)</f>
        <v/>
      </c>
      <c r="M13" s="19">
        <f>IF(C13="","",J13-L13)</f>
        <v/>
      </c>
      <c r="N13" s="27">
        <f>IF(C13="","",IF(J13&lt;0,"LOST MONEY",IF(K13&lt;Settings!$B$6-0.0001,"Below target margin","OK")))</f>
        <v/>
      </c>
    </row>
    <row r="14">
      <c r="A14" s="26" t="n"/>
      <c r="B14" s="12" t="n"/>
      <c r="C14" s="15" t="n"/>
      <c r="D14" s="15" t="n"/>
      <c r="E14" s="14" t="n"/>
      <c r="F14" s="15" t="n"/>
      <c r="G14" s="16" t="n"/>
      <c r="H14" s="15" t="n"/>
      <c r="I14" s="19">
        <f>IF(C14="","",(E14*Settings!$B$4+F14+G14*Settings!$B$7+H14)*(1+Settings!$B$5))</f>
        <v/>
      </c>
      <c r="J14" s="19">
        <f>IF(C14="","",C14-I14)</f>
        <v/>
      </c>
      <c r="K14" s="24">
        <f>IF(C14="","",IF(C14=0,0,J14/C14))</f>
        <v/>
      </c>
      <c r="L14" s="19">
        <f>IF(C14="","",C14-D14)</f>
        <v/>
      </c>
      <c r="M14" s="19">
        <f>IF(C14="","",J14-L14)</f>
        <v/>
      </c>
      <c r="N14" s="27">
        <f>IF(C14="","",IF(J14&lt;0,"LOST MONEY",IF(K14&lt;Settings!$B$6-0.0001,"Below target margin","OK")))</f>
        <v/>
      </c>
    </row>
    <row r="15">
      <c r="A15" s="26" t="n"/>
      <c r="B15" s="12" t="n"/>
      <c r="C15" s="15" t="n"/>
      <c r="D15" s="15" t="n"/>
      <c r="E15" s="14" t="n"/>
      <c r="F15" s="15" t="n"/>
      <c r="G15" s="16" t="n"/>
      <c r="H15" s="15" t="n"/>
      <c r="I15" s="19">
        <f>IF(C15="","",(E15*Settings!$B$4+F15+G15*Settings!$B$7+H15)*(1+Settings!$B$5))</f>
        <v/>
      </c>
      <c r="J15" s="19">
        <f>IF(C15="","",C15-I15)</f>
        <v/>
      </c>
      <c r="K15" s="24">
        <f>IF(C15="","",IF(C15=0,0,J15/C15))</f>
        <v/>
      </c>
      <c r="L15" s="19">
        <f>IF(C15="","",C15-D15)</f>
        <v/>
      </c>
      <c r="M15" s="19">
        <f>IF(C15="","",J15-L15)</f>
        <v/>
      </c>
      <c r="N15" s="27">
        <f>IF(C15="","",IF(J15&lt;0,"LOST MONEY",IF(K15&lt;Settings!$B$6-0.0001,"Below target margin","OK")))</f>
        <v/>
      </c>
    </row>
    <row r="16">
      <c r="A16" s="26" t="n"/>
      <c r="B16" s="12" t="n"/>
      <c r="C16" s="15" t="n"/>
      <c r="D16" s="15" t="n"/>
      <c r="E16" s="14" t="n"/>
      <c r="F16" s="15" t="n"/>
      <c r="G16" s="16" t="n"/>
      <c r="H16" s="15" t="n"/>
      <c r="I16" s="19">
        <f>IF(C16="","",(E16*Settings!$B$4+F16+G16*Settings!$B$7+H16)*(1+Settings!$B$5))</f>
        <v/>
      </c>
      <c r="J16" s="19">
        <f>IF(C16="","",C16-I16)</f>
        <v/>
      </c>
      <c r="K16" s="24">
        <f>IF(C16="","",IF(C16=0,0,J16/C16))</f>
        <v/>
      </c>
      <c r="L16" s="19">
        <f>IF(C16="","",C16-D16)</f>
        <v/>
      </c>
      <c r="M16" s="19">
        <f>IF(C16="","",J16-L16)</f>
        <v/>
      </c>
      <c r="N16" s="27">
        <f>IF(C16="","",IF(J16&lt;0,"LOST MONEY",IF(K16&lt;Settings!$B$6-0.0001,"Below target margin","OK")))</f>
        <v/>
      </c>
    </row>
    <row r="17">
      <c r="A17" s="26" t="n"/>
      <c r="B17" s="12" t="n"/>
      <c r="C17" s="15" t="n"/>
      <c r="D17" s="15" t="n"/>
      <c r="E17" s="14" t="n"/>
      <c r="F17" s="15" t="n"/>
      <c r="G17" s="16" t="n"/>
      <c r="H17" s="15" t="n"/>
      <c r="I17" s="19">
        <f>IF(C17="","",(E17*Settings!$B$4+F17+G17*Settings!$B$7+H17)*(1+Settings!$B$5))</f>
        <v/>
      </c>
      <c r="J17" s="19">
        <f>IF(C17="","",C17-I17)</f>
        <v/>
      </c>
      <c r="K17" s="24">
        <f>IF(C17="","",IF(C17=0,0,J17/C17))</f>
        <v/>
      </c>
      <c r="L17" s="19">
        <f>IF(C17="","",C17-D17)</f>
        <v/>
      </c>
      <c r="M17" s="19">
        <f>IF(C17="","",J17-L17)</f>
        <v/>
      </c>
      <c r="N17" s="27">
        <f>IF(C17="","",IF(J17&lt;0,"LOST MONEY",IF(K17&lt;Settings!$B$6-0.0001,"Below target margin","OK")))</f>
        <v/>
      </c>
    </row>
    <row r="18">
      <c r="A18" s="26" t="n"/>
      <c r="B18" s="12" t="n"/>
      <c r="C18" s="15" t="n"/>
      <c r="D18" s="15" t="n"/>
      <c r="E18" s="14" t="n"/>
      <c r="F18" s="15" t="n"/>
      <c r="G18" s="16" t="n"/>
      <c r="H18" s="15" t="n"/>
      <c r="I18" s="19">
        <f>IF(C18="","",(E18*Settings!$B$4+F18+G18*Settings!$B$7+H18)*(1+Settings!$B$5))</f>
        <v/>
      </c>
      <c r="J18" s="19">
        <f>IF(C18="","",C18-I18)</f>
        <v/>
      </c>
      <c r="K18" s="24">
        <f>IF(C18="","",IF(C18=0,0,J18/C18))</f>
        <v/>
      </c>
      <c r="L18" s="19">
        <f>IF(C18="","",C18-D18)</f>
        <v/>
      </c>
      <c r="M18" s="19">
        <f>IF(C18="","",J18-L18)</f>
        <v/>
      </c>
      <c r="N18" s="27">
        <f>IF(C18="","",IF(J18&lt;0,"LOST MONEY",IF(K18&lt;Settings!$B$6-0.0001,"Below target margin","OK")))</f>
        <v/>
      </c>
    </row>
    <row r="19">
      <c r="A19" s="26" t="n"/>
      <c r="B19" s="12" t="n"/>
      <c r="C19" s="15" t="n"/>
      <c r="D19" s="15" t="n"/>
      <c r="E19" s="14" t="n"/>
      <c r="F19" s="15" t="n"/>
      <c r="G19" s="16" t="n"/>
      <c r="H19" s="15" t="n"/>
      <c r="I19" s="19">
        <f>IF(C19="","",(E19*Settings!$B$4+F19+G19*Settings!$B$7+H19)*(1+Settings!$B$5))</f>
        <v/>
      </c>
      <c r="J19" s="19">
        <f>IF(C19="","",C19-I19)</f>
        <v/>
      </c>
      <c r="K19" s="24">
        <f>IF(C19="","",IF(C19=0,0,J19/C19))</f>
        <v/>
      </c>
      <c r="L19" s="19">
        <f>IF(C19="","",C19-D19)</f>
        <v/>
      </c>
      <c r="M19" s="19">
        <f>IF(C19="","",J19-L19)</f>
        <v/>
      </c>
      <c r="N19" s="27">
        <f>IF(C19="","",IF(J19&lt;0,"LOST MONEY",IF(K19&lt;Settings!$B$6-0.0001,"Below target margin","OK")))</f>
        <v/>
      </c>
    </row>
    <row r="20">
      <c r="A20" s="26" t="n"/>
      <c r="B20" s="12" t="n"/>
      <c r="C20" s="15" t="n"/>
      <c r="D20" s="15" t="n"/>
      <c r="E20" s="14" t="n"/>
      <c r="F20" s="15" t="n"/>
      <c r="G20" s="16" t="n"/>
      <c r="H20" s="15" t="n"/>
      <c r="I20" s="19">
        <f>IF(C20="","",(E20*Settings!$B$4+F20+G20*Settings!$B$7+H20)*(1+Settings!$B$5))</f>
        <v/>
      </c>
      <c r="J20" s="19">
        <f>IF(C20="","",C20-I20)</f>
        <v/>
      </c>
      <c r="K20" s="24">
        <f>IF(C20="","",IF(C20=0,0,J20/C20))</f>
        <v/>
      </c>
      <c r="L20" s="19">
        <f>IF(C20="","",C20-D20)</f>
        <v/>
      </c>
      <c r="M20" s="19">
        <f>IF(C20="","",J20-L20)</f>
        <v/>
      </c>
      <c r="N20" s="27">
        <f>IF(C20="","",IF(J20&lt;0,"LOST MONEY",IF(K20&lt;Settings!$B$6-0.0001,"Below target margin","OK")))</f>
        <v/>
      </c>
    </row>
    <row r="21">
      <c r="A21" s="26" t="n"/>
      <c r="B21" s="12" t="n"/>
      <c r="C21" s="15" t="n"/>
      <c r="D21" s="15" t="n"/>
      <c r="E21" s="14" t="n"/>
      <c r="F21" s="15" t="n"/>
      <c r="G21" s="16" t="n"/>
      <c r="H21" s="15" t="n"/>
      <c r="I21" s="19">
        <f>IF(C21="","",(E21*Settings!$B$4+F21+G21*Settings!$B$7+H21)*(1+Settings!$B$5))</f>
        <v/>
      </c>
      <c r="J21" s="19">
        <f>IF(C21="","",C21-I21)</f>
        <v/>
      </c>
      <c r="K21" s="24">
        <f>IF(C21="","",IF(C21=0,0,J21/C21))</f>
        <v/>
      </c>
      <c r="L21" s="19">
        <f>IF(C21="","",C21-D21)</f>
        <v/>
      </c>
      <c r="M21" s="19">
        <f>IF(C21="","",J21-L21)</f>
        <v/>
      </c>
      <c r="N21" s="27">
        <f>IF(C21="","",IF(J21&lt;0,"LOST MONEY",IF(K21&lt;Settings!$B$6-0.0001,"Below target margin","OK")))</f>
        <v/>
      </c>
    </row>
    <row r="22">
      <c r="A22" s="26" t="n"/>
      <c r="B22" s="12" t="n"/>
      <c r="C22" s="15" t="n"/>
      <c r="D22" s="15" t="n"/>
      <c r="E22" s="14" t="n"/>
      <c r="F22" s="15" t="n"/>
      <c r="G22" s="16" t="n"/>
      <c r="H22" s="15" t="n"/>
      <c r="I22" s="19">
        <f>IF(C22="","",(E22*Settings!$B$4+F22+G22*Settings!$B$7+H22)*(1+Settings!$B$5))</f>
        <v/>
      </c>
      <c r="J22" s="19">
        <f>IF(C22="","",C22-I22)</f>
        <v/>
      </c>
      <c r="K22" s="24">
        <f>IF(C22="","",IF(C22=0,0,J22/C22))</f>
        <v/>
      </c>
      <c r="L22" s="19">
        <f>IF(C22="","",C22-D22)</f>
        <v/>
      </c>
      <c r="M22" s="19">
        <f>IF(C22="","",J22-L22)</f>
        <v/>
      </c>
      <c r="N22" s="27">
        <f>IF(C22="","",IF(J22&lt;0,"LOST MONEY",IF(K22&lt;Settings!$B$6-0.0001,"Below target margin","OK")))</f>
        <v/>
      </c>
    </row>
    <row r="23">
      <c r="A23" s="26" t="n"/>
      <c r="B23" s="12" t="n"/>
      <c r="C23" s="15" t="n"/>
      <c r="D23" s="15" t="n"/>
      <c r="E23" s="14" t="n"/>
      <c r="F23" s="15" t="n"/>
      <c r="G23" s="16" t="n"/>
      <c r="H23" s="15" t="n"/>
      <c r="I23" s="19">
        <f>IF(C23="","",(E23*Settings!$B$4+F23+G23*Settings!$B$7+H23)*(1+Settings!$B$5))</f>
        <v/>
      </c>
      <c r="J23" s="19">
        <f>IF(C23="","",C23-I23)</f>
        <v/>
      </c>
      <c r="K23" s="24">
        <f>IF(C23="","",IF(C23=0,0,J23/C23))</f>
        <v/>
      </c>
      <c r="L23" s="19">
        <f>IF(C23="","",C23-D23)</f>
        <v/>
      </c>
      <c r="M23" s="19">
        <f>IF(C23="","",J23-L23)</f>
        <v/>
      </c>
      <c r="N23" s="27">
        <f>IF(C23="","",IF(J23&lt;0,"LOST MONEY",IF(K23&lt;Settings!$B$6-0.0001,"Below target margin","OK")))</f>
        <v/>
      </c>
    </row>
    <row r="24">
      <c r="A24" s="26" t="n"/>
      <c r="B24" s="12" t="n"/>
      <c r="C24" s="15" t="n"/>
      <c r="D24" s="15" t="n"/>
      <c r="E24" s="14" t="n"/>
      <c r="F24" s="15" t="n"/>
      <c r="G24" s="16" t="n"/>
      <c r="H24" s="15" t="n"/>
      <c r="I24" s="19">
        <f>IF(C24="","",(E24*Settings!$B$4+F24+G24*Settings!$B$7+H24)*(1+Settings!$B$5))</f>
        <v/>
      </c>
      <c r="J24" s="19">
        <f>IF(C24="","",C24-I24)</f>
        <v/>
      </c>
      <c r="K24" s="24">
        <f>IF(C24="","",IF(C24=0,0,J24/C24))</f>
        <v/>
      </c>
      <c r="L24" s="19">
        <f>IF(C24="","",C24-D24)</f>
        <v/>
      </c>
      <c r="M24" s="19">
        <f>IF(C24="","",J24-L24)</f>
        <v/>
      </c>
      <c r="N24" s="27">
        <f>IF(C24="","",IF(J24&lt;0,"LOST MONEY",IF(K24&lt;Settings!$B$6-0.0001,"Below target margin","OK")))</f>
        <v/>
      </c>
    </row>
    <row r="25">
      <c r="A25" s="26" t="n"/>
      <c r="B25" s="12" t="n"/>
      <c r="C25" s="15" t="n"/>
      <c r="D25" s="15" t="n"/>
      <c r="E25" s="14" t="n"/>
      <c r="F25" s="15" t="n"/>
      <c r="G25" s="16" t="n"/>
      <c r="H25" s="15" t="n"/>
      <c r="I25" s="19">
        <f>IF(C25="","",(E25*Settings!$B$4+F25+G25*Settings!$B$7+H25)*(1+Settings!$B$5))</f>
        <v/>
      </c>
      <c r="J25" s="19">
        <f>IF(C25="","",C25-I25)</f>
        <v/>
      </c>
      <c r="K25" s="24">
        <f>IF(C25="","",IF(C25=0,0,J25/C25))</f>
        <v/>
      </c>
      <c r="L25" s="19">
        <f>IF(C25="","",C25-D25)</f>
        <v/>
      </c>
      <c r="M25" s="19">
        <f>IF(C25="","",J25-L25)</f>
        <v/>
      </c>
      <c r="N25" s="27">
        <f>IF(C25="","",IF(J25&lt;0,"LOST MONEY",IF(K25&lt;Settings!$B$6-0.0001,"Below target margin","OK")))</f>
        <v/>
      </c>
    </row>
    <row r="26">
      <c r="A26" s="26" t="n"/>
      <c r="B26" s="12" t="n"/>
      <c r="C26" s="15" t="n"/>
      <c r="D26" s="15" t="n"/>
      <c r="E26" s="14" t="n"/>
      <c r="F26" s="15" t="n"/>
      <c r="G26" s="16" t="n"/>
      <c r="H26" s="15" t="n"/>
      <c r="I26" s="19">
        <f>IF(C26="","",(E26*Settings!$B$4+F26+G26*Settings!$B$7+H26)*(1+Settings!$B$5))</f>
        <v/>
      </c>
      <c r="J26" s="19">
        <f>IF(C26="","",C26-I26)</f>
        <v/>
      </c>
      <c r="K26" s="24">
        <f>IF(C26="","",IF(C26=0,0,J26/C26))</f>
        <v/>
      </c>
      <c r="L26" s="19">
        <f>IF(C26="","",C26-D26)</f>
        <v/>
      </c>
      <c r="M26" s="19">
        <f>IF(C26="","",J26-L26)</f>
        <v/>
      </c>
      <c r="N26" s="27">
        <f>IF(C26="","",IF(J26&lt;0,"LOST MONEY",IF(K26&lt;Settings!$B$6-0.0001,"Below target margin","OK")))</f>
        <v/>
      </c>
    </row>
    <row r="27">
      <c r="A27" s="26" t="n"/>
      <c r="B27" s="12" t="n"/>
      <c r="C27" s="15" t="n"/>
      <c r="D27" s="15" t="n"/>
      <c r="E27" s="14" t="n"/>
      <c r="F27" s="15" t="n"/>
      <c r="G27" s="16" t="n"/>
      <c r="H27" s="15" t="n"/>
      <c r="I27" s="19">
        <f>IF(C27="","",(E27*Settings!$B$4+F27+G27*Settings!$B$7+H27)*(1+Settings!$B$5))</f>
        <v/>
      </c>
      <c r="J27" s="19">
        <f>IF(C27="","",C27-I27)</f>
        <v/>
      </c>
      <c r="K27" s="24">
        <f>IF(C27="","",IF(C27=0,0,J27/C27))</f>
        <v/>
      </c>
      <c r="L27" s="19">
        <f>IF(C27="","",C27-D27)</f>
        <v/>
      </c>
      <c r="M27" s="19">
        <f>IF(C27="","",J27-L27)</f>
        <v/>
      </c>
      <c r="N27" s="27">
        <f>IF(C27="","",IF(J27&lt;0,"LOST MONEY",IF(K27&lt;Settings!$B$6-0.0001,"Below target margin","OK")))</f>
        <v/>
      </c>
    </row>
    <row r="28">
      <c r="A28" s="26" t="n"/>
      <c r="B28" s="12" t="n"/>
      <c r="C28" s="15" t="n"/>
      <c r="D28" s="15" t="n"/>
      <c r="E28" s="14" t="n"/>
      <c r="F28" s="15" t="n"/>
      <c r="G28" s="16" t="n"/>
      <c r="H28" s="15" t="n"/>
      <c r="I28" s="19">
        <f>IF(C28="","",(E28*Settings!$B$4+F28+G28*Settings!$B$7+H28)*(1+Settings!$B$5))</f>
        <v/>
      </c>
      <c r="J28" s="19">
        <f>IF(C28="","",C28-I28)</f>
        <v/>
      </c>
      <c r="K28" s="24">
        <f>IF(C28="","",IF(C28=0,0,J28/C28))</f>
        <v/>
      </c>
      <c r="L28" s="19">
        <f>IF(C28="","",C28-D28)</f>
        <v/>
      </c>
      <c r="M28" s="19">
        <f>IF(C28="","",J28-L28)</f>
        <v/>
      </c>
      <c r="N28" s="27">
        <f>IF(C28="","",IF(J28&lt;0,"LOST MONEY",IF(K28&lt;Settings!$B$6-0.0001,"Below target margin","OK")))</f>
        <v/>
      </c>
    </row>
    <row r="29">
      <c r="A29" s="26" t="n"/>
      <c r="B29" s="12" t="n"/>
      <c r="C29" s="15" t="n"/>
      <c r="D29" s="15" t="n"/>
      <c r="E29" s="14" t="n"/>
      <c r="F29" s="15" t="n"/>
      <c r="G29" s="16" t="n"/>
      <c r="H29" s="15" t="n"/>
      <c r="I29" s="19">
        <f>IF(C29="","",(E29*Settings!$B$4+F29+G29*Settings!$B$7+H29)*(1+Settings!$B$5))</f>
        <v/>
      </c>
      <c r="J29" s="19">
        <f>IF(C29="","",C29-I29)</f>
        <v/>
      </c>
      <c r="K29" s="24">
        <f>IF(C29="","",IF(C29=0,0,J29/C29))</f>
        <v/>
      </c>
      <c r="L29" s="19">
        <f>IF(C29="","",C29-D29)</f>
        <v/>
      </c>
      <c r="M29" s="19">
        <f>IF(C29="","",J29-L29)</f>
        <v/>
      </c>
      <c r="N29" s="27">
        <f>IF(C29="","",IF(J29&lt;0,"LOST MONEY",IF(K29&lt;Settings!$B$6-0.0001,"Below target margin","OK")))</f>
        <v/>
      </c>
    </row>
    <row r="30">
      <c r="A30" s="26" t="n"/>
      <c r="B30" s="12" t="n"/>
      <c r="C30" s="15" t="n"/>
      <c r="D30" s="15" t="n"/>
      <c r="E30" s="14" t="n"/>
      <c r="F30" s="15" t="n"/>
      <c r="G30" s="16" t="n"/>
      <c r="H30" s="15" t="n"/>
      <c r="I30" s="19">
        <f>IF(C30="","",(E30*Settings!$B$4+F30+G30*Settings!$B$7+H30)*(1+Settings!$B$5))</f>
        <v/>
      </c>
      <c r="J30" s="19">
        <f>IF(C30="","",C30-I30)</f>
        <v/>
      </c>
      <c r="K30" s="24">
        <f>IF(C30="","",IF(C30=0,0,J30/C30))</f>
        <v/>
      </c>
      <c r="L30" s="19">
        <f>IF(C30="","",C30-D30)</f>
        <v/>
      </c>
      <c r="M30" s="19">
        <f>IF(C30="","",J30-L30)</f>
        <v/>
      </c>
      <c r="N30" s="27">
        <f>IF(C30="","",IF(J30&lt;0,"LOST MONEY",IF(K30&lt;Settings!$B$6-0.0001,"Below target margin","OK")))</f>
        <v/>
      </c>
    </row>
    <row r="31">
      <c r="A31" s="26" t="n"/>
      <c r="B31" s="12" t="n"/>
      <c r="C31" s="15" t="n"/>
      <c r="D31" s="15" t="n"/>
      <c r="E31" s="14" t="n"/>
      <c r="F31" s="15" t="n"/>
      <c r="G31" s="16" t="n"/>
      <c r="H31" s="15" t="n"/>
      <c r="I31" s="19">
        <f>IF(C31="","",(E31*Settings!$B$4+F31+G31*Settings!$B$7+H31)*(1+Settings!$B$5))</f>
        <v/>
      </c>
      <c r="J31" s="19">
        <f>IF(C31="","",C31-I31)</f>
        <v/>
      </c>
      <c r="K31" s="24">
        <f>IF(C31="","",IF(C31=0,0,J31/C31))</f>
        <v/>
      </c>
      <c r="L31" s="19">
        <f>IF(C31="","",C31-D31)</f>
        <v/>
      </c>
      <c r="M31" s="19">
        <f>IF(C31="","",J31-L31)</f>
        <v/>
      </c>
      <c r="N31" s="27">
        <f>IF(C31="","",IF(J31&lt;0,"LOST MONEY",IF(K31&lt;Settings!$B$6-0.0001,"Below target margin","OK")))</f>
        <v/>
      </c>
    </row>
    <row r="32">
      <c r="A32" s="26" t="n"/>
      <c r="B32" s="12" t="n"/>
      <c r="C32" s="15" t="n"/>
      <c r="D32" s="15" t="n"/>
      <c r="E32" s="14" t="n"/>
      <c r="F32" s="15" t="n"/>
      <c r="G32" s="16" t="n"/>
      <c r="H32" s="15" t="n"/>
      <c r="I32" s="19">
        <f>IF(C32="","",(E32*Settings!$B$4+F32+G32*Settings!$B$7+H32)*(1+Settings!$B$5))</f>
        <v/>
      </c>
      <c r="J32" s="19">
        <f>IF(C32="","",C32-I32)</f>
        <v/>
      </c>
      <c r="K32" s="24">
        <f>IF(C32="","",IF(C32=0,0,J32/C32))</f>
        <v/>
      </c>
      <c r="L32" s="19">
        <f>IF(C32="","",C32-D32)</f>
        <v/>
      </c>
      <c r="M32" s="19">
        <f>IF(C32="","",J32-L32)</f>
        <v/>
      </c>
      <c r="N32" s="27">
        <f>IF(C32="","",IF(J32&lt;0,"LOST MONEY",IF(K32&lt;Settings!$B$6-0.0001,"Below target margin","OK")))</f>
        <v/>
      </c>
    </row>
    <row r="33">
      <c r="A33" s="26" t="n"/>
      <c r="B33" s="12" t="n"/>
      <c r="C33" s="15" t="n"/>
      <c r="D33" s="15" t="n"/>
      <c r="E33" s="14" t="n"/>
      <c r="F33" s="15" t="n"/>
      <c r="G33" s="16" t="n"/>
      <c r="H33" s="15" t="n"/>
      <c r="I33" s="19">
        <f>IF(C33="","",(E33*Settings!$B$4+F33+G33*Settings!$B$7+H33)*(1+Settings!$B$5))</f>
        <v/>
      </c>
      <c r="J33" s="19">
        <f>IF(C33="","",C33-I33)</f>
        <v/>
      </c>
      <c r="K33" s="24">
        <f>IF(C33="","",IF(C33=0,0,J33/C33))</f>
        <v/>
      </c>
      <c r="L33" s="19">
        <f>IF(C33="","",C33-D33)</f>
        <v/>
      </c>
      <c r="M33" s="19">
        <f>IF(C33="","",J33-L33)</f>
        <v/>
      </c>
      <c r="N33" s="27">
        <f>IF(C33="","",IF(J33&lt;0,"LOST MONEY",IF(K33&lt;Settings!$B$6-0.0001,"Below target margin","OK")))</f>
        <v/>
      </c>
    </row>
    <row r="34">
      <c r="A34" s="26" t="n"/>
      <c r="B34" s="12" t="n"/>
      <c r="C34" s="15" t="n"/>
      <c r="D34" s="15" t="n"/>
      <c r="E34" s="14" t="n"/>
      <c r="F34" s="15" t="n"/>
      <c r="G34" s="16" t="n"/>
      <c r="H34" s="15" t="n"/>
      <c r="I34" s="19">
        <f>IF(C34="","",(E34*Settings!$B$4+F34+G34*Settings!$B$7+H34)*(1+Settings!$B$5))</f>
        <v/>
      </c>
      <c r="J34" s="19">
        <f>IF(C34="","",C34-I34)</f>
        <v/>
      </c>
      <c r="K34" s="24">
        <f>IF(C34="","",IF(C34=0,0,J34/C34))</f>
        <v/>
      </c>
      <c r="L34" s="19">
        <f>IF(C34="","",C34-D34)</f>
        <v/>
      </c>
      <c r="M34" s="19">
        <f>IF(C34="","",J34-L34)</f>
        <v/>
      </c>
      <c r="N34" s="27">
        <f>IF(C34="","",IF(J34&lt;0,"LOST MONEY",IF(K34&lt;Settings!$B$6-0.0001,"Below target margin","OK")))</f>
        <v/>
      </c>
    </row>
    <row r="35">
      <c r="A35" s="26" t="n"/>
      <c r="B35" s="12" t="n"/>
      <c r="C35" s="15" t="n"/>
      <c r="D35" s="15" t="n"/>
      <c r="E35" s="14" t="n"/>
      <c r="F35" s="15" t="n"/>
      <c r="G35" s="16" t="n"/>
      <c r="H35" s="15" t="n"/>
      <c r="I35" s="19">
        <f>IF(C35="","",(E35*Settings!$B$4+F35+G35*Settings!$B$7+H35)*(1+Settings!$B$5))</f>
        <v/>
      </c>
      <c r="J35" s="19">
        <f>IF(C35="","",C35-I35)</f>
        <v/>
      </c>
      <c r="K35" s="24">
        <f>IF(C35="","",IF(C35=0,0,J35/C35))</f>
        <v/>
      </c>
      <c r="L35" s="19">
        <f>IF(C35="","",C35-D35)</f>
        <v/>
      </c>
      <c r="M35" s="19">
        <f>IF(C35="","",J35-L35)</f>
        <v/>
      </c>
      <c r="N35" s="27">
        <f>IF(C35="","",IF(J35&lt;0,"LOST MONEY",IF(K35&lt;Settings!$B$6-0.0001,"Below target margin","OK")))</f>
        <v/>
      </c>
    </row>
    <row r="36">
      <c r="A36" s="26" t="n"/>
      <c r="B36" s="12" t="n"/>
      <c r="C36" s="15" t="n"/>
      <c r="D36" s="15" t="n"/>
      <c r="E36" s="14" t="n"/>
      <c r="F36" s="15" t="n"/>
      <c r="G36" s="16" t="n"/>
      <c r="H36" s="15" t="n"/>
      <c r="I36" s="19">
        <f>IF(C36="","",(E36*Settings!$B$4+F36+G36*Settings!$B$7+H36)*(1+Settings!$B$5))</f>
        <v/>
      </c>
      <c r="J36" s="19">
        <f>IF(C36="","",C36-I36)</f>
        <v/>
      </c>
      <c r="K36" s="24">
        <f>IF(C36="","",IF(C36=0,0,J36/C36))</f>
        <v/>
      </c>
      <c r="L36" s="19">
        <f>IF(C36="","",C36-D36)</f>
        <v/>
      </c>
      <c r="M36" s="19">
        <f>IF(C36="","",J36-L36)</f>
        <v/>
      </c>
      <c r="N36" s="27">
        <f>IF(C36="","",IF(J36&lt;0,"LOST MONEY",IF(K36&lt;Settings!$B$6-0.0001,"Below target margin","OK")))</f>
        <v/>
      </c>
    </row>
    <row r="37">
      <c r="A37" s="26" t="n"/>
      <c r="B37" s="12" t="n"/>
      <c r="C37" s="15" t="n"/>
      <c r="D37" s="15" t="n"/>
      <c r="E37" s="14" t="n"/>
      <c r="F37" s="15" t="n"/>
      <c r="G37" s="16" t="n"/>
      <c r="H37" s="15" t="n"/>
      <c r="I37" s="19">
        <f>IF(C37="","",(E37*Settings!$B$4+F37+G37*Settings!$B$7+H37)*(1+Settings!$B$5))</f>
        <v/>
      </c>
      <c r="J37" s="19">
        <f>IF(C37="","",C37-I37)</f>
        <v/>
      </c>
      <c r="K37" s="24">
        <f>IF(C37="","",IF(C37=0,0,J37/C37))</f>
        <v/>
      </c>
      <c r="L37" s="19">
        <f>IF(C37="","",C37-D37)</f>
        <v/>
      </c>
      <c r="M37" s="19">
        <f>IF(C37="","",J37-L37)</f>
        <v/>
      </c>
      <c r="N37" s="27">
        <f>IF(C37="","",IF(J37&lt;0,"LOST MONEY",IF(K37&lt;Settings!$B$6-0.0001,"Below target margin","OK")))</f>
        <v/>
      </c>
    </row>
    <row r="38">
      <c r="A38" s="26" t="n"/>
      <c r="B38" s="12" t="n"/>
      <c r="C38" s="15" t="n"/>
      <c r="D38" s="15" t="n"/>
      <c r="E38" s="14" t="n"/>
      <c r="F38" s="15" t="n"/>
      <c r="G38" s="16" t="n"/>
      <c r="H38" s="15" t="n"/>
      <c r="I38" s="19">
        <f>IF(C38="","",(E38*Settings!$B$4+F38+G38*Settings!$B$7+H38)*(1+Settings!$B$5))</f>
        <v/>
      </c>
      <c r="J38" s="19">
        <f>IF(C38="","",C38-I38)</f>
        <v/>
      </c>
      <c r="K38" s="24">
        <f>IF(C38="","",IF(C38=0,0,J38/C38))</f>
        <v/>
      </c>
      <c r="L38" s="19">
        <f>IF(C38="","",C38-D38)</f>
        <v/>
      </c>
      <c r="M38" s="19">
        <f>IF(C38="","",J38-L38)</f>
        <v/>
      </c>
      <c r="N38" s="27">
        <f>IF(C38="","",IF(J38&lt;0,"LOST MONEY",IF(K38&lt;Settings!$B$6-0.0001,"Below target margin","OK")))</f>
        <v/>
      </c>
    </row>
    <row r="39">
      <c r="A39" s="26" t="n"/>
      <c r="B39" s="12" t="n"/>
      <c r="C39" s="15" t="n"/>
      <c r="D39" s="15" t="n"/>
      <c r="E39" s="14" t="n"/>
      <c r="F39" s="15" t="n"/>
      <c r="G39" s="16" t="n"/>
      <c r="H39" s="15" t="n"/>
      <c r="I39" s="19">
        <f>IF(C39="","",(E39*Settings!$B$4+F39+G39*Settings!$B$7+H39)*(1+Settings!$B$5))</f>
        <v/>
      </c>
      <c r="J39" s="19">
        <f>IF(C39="","",C39-I39)</f>
        <v/>
      </c>
      <c r="K39" s="24">
        <f>IF(C39="","",IF(C39=0,0,J39/C39))</f>
        <v/>
      </c>
      <c r="L39" s="19">
        <f>IF(C39="","",C39-D39)</f>
        <v/>
      </c>
      <c r="M39" s="19">
        <f>IF(C39="","",J39-L39)</f>
        <v/>
      </c>
      <c r="N39" s="27">
        <f>IF(C39="","",IF(J39&lt;0,"LOST MONEY",IF(K39&lt;Settings!$B$6-0.0001,"Below target margin","OK")))</f>
        <v/>
      </c>
    </row>
    <row r="40">
      <c r="A40" s="26" t="n"/>
      <c r="B40" s="12" t="n"/>
      <c r="C40" s="15" t="n"/>
      <c r="D40" s="15" t="n"/>
      <c r="E40" s="14" t="n"/>
      <c r="F40" s="15" t="n"/>
      <c r="G40" s="16" t="n"/>
      <c r="H40" s="15" t="n"/>
      <c r="I40" s="19">
        <f>IF(C40="","",(E40*Settings!$B$4+F40+G40*Settings!$B$7+H40)*(1+Settings!$B$5))</f>
        <v/>
      </c>
      <c r="J40" s="19">
        <f>IF(C40="","",C40-I40)</f>
        <v/>
      </c>
      <c r="K40" s="24">
        <f>IF(C40="","",IF(C40=0,0,J40/C40))</f>
        <v/>
      </c>
      <c r="L40" s="19">
        <f>IF(C40="","",C40-D40)</f>
        <v/>
      </c>
      <c r="M40" s="19">
        <f>IF(C40="","",J40-L40)</f>
        <v/>
      </c>
      <c r="N40" s="27">
        <f>IF(C40="","",IF(J40&lt;0,"LOST MONEY",IF(K40&lt;Settings!$B$6-0.0001,"Below target margin","OK")))</f>
        <v/>
      </c>
    </row>
    <row r="41">
      <c r="A41" s="26" t="n"/>
      <c r="B41" s="12" t="n"/>
      <c r="C41" s="15" t="n"/>
      <c r="D41" s="15" t="n"/>
      <c r="E41" s="14" t="n"/>
      <c r="F41" s="15" t="n"/>
      <c r="G41" s="16" t="n"/>
      <c r="H41" s="15" t="n"/>
      <c r="I41" s="19">
        <f>IF(C41="","",(E41*Settings!$B$4+F41+G41*Settings!$B$7+H41)*(1+Settings!$B$5))</f>
        <v/>
      </c>
      <c r="J41" s="19">
        <f>IF(C41="","",C41-I41)</f>
        <v/>
      </c>
      <c r="K41" s="24">
        <f>IF(C41="","",IF(C41=0,0,J41/C41))</f>
        <v/>
      </c>
      <c r="L41" s="19">
        <f>IF(C41="","",C41-D41)</f>
        <v/>
      </c>
      <c r="M41" s="19">
        <f>IF(C41="","",J41-L41)</f>
        <v/>
      </c>
      <c r="N41" s="27">
        <f>IF(C41="","",IF(J41&lt;0,"LOST MONEY",IF(K41&lt;Settings!$B$6-0.0001,"Below target margin","OK")))</f>
        <v/>
      </c>
    </row>
    <row r="42">
      <c r="A42" s="26" t="n"/>
      <c r="B42" s="12" t="n"/>
      <c r="C42" s="15" t="n"/>
      <c r="D42" s="15" t="n"/>
      <c r="E42" s="14" t="n"/>
      <c r="F42" s="15" t="n"/>
      <c r="G42" s="16" t="n"/>
      <c r="H42" s="15" t="n"/>
      <c r="I42" s="19">
        <f>IF(C42="","",(E42*Settings!$B$4+F42+G42*Settings!$B$7+H42)*(1+Settings!$B$5))</f>
        <v/>
      </c>
      <c r="J42" s="19">
        <f>IF(C42="","",C42-I42)</f>
        <v/>
      </c>
      <c r="K42" s="24">
        <f>IF(C42="","",IF(C42=0,0,J42/C42))</f>
        <v/>
      </c>
      <c r="L42" s="19">
        <f>IF(C42="","",C42-D42)</f>
        <v/>
      </c>
      <c r="M42" s="19">
        <f>IF(C42="","",J42-L42)</f>
        <v/>
      </c>
      <c r="N42" s="27">
        <f>IF(C42="","",IF(J42&lt;0,"LOST MONEY",IF(K42&lt;Settings!$B$6-0.0001,"Below target margin","OK")))</f>
        <v/>
      </c>
    </row>
    <row r="43">
      <c r="A43" s="26" t="n"/>
      <c r="B43" s="12" t="n"/>
      <c r="C43" s="15" t="n"/>
      <c r="D43" s="15" t="n"/>
      <c r="E43" s="14" t="n"/>
      <c r="F43" s="15" t="n"/>
      <c r="G43" s="16" t="n"/>
      <c r="H43" s="15" t="n"/>
      <c r="I43" s="19">
        <f>IF(C43="","",(E43*Settings!$B$4+F43+G43*Settings!$B$7+H43)*(1+Settings!$B$5))</f>
        <v/>
      </c>
      <c r="J43" s="19">
        <f>IF(C43="","",C43-I43)</f>
        <v/>
      </c>
      <c r="K43" s="24">
        <f>IF(C43="","",IF(C43=0,0,J43/C43))</f>
        <v/>
      </c>
      <c r="L43" s="19">
        <f>IF(C43="","",C43-D43)</f>
        <v/>
      </c>
      <c r="M43" s="19">
        <f>IF(C43="","",J43-L43)</f>
        <v/>
      </c>
      <c r="N43" s="27">
        <f>IF(C43="","",IF(J43&lt;0,"LOST MONEY",IF(K43&lt;Settings!$B$6-0.0001,"Below target margin","OK")))</f>
        <v/>
      </c>
    </row>
    <row r="44">
      <c r="A44" s="26" t="n"/>
      <c r="B44" s="12" t="n"/>
      <c r="C44" s="15" t="n"/>
      <c r="D44" s="15" t="n"/>
      <c r="E44" s="14" t="n"/>
      <c r="F44" s="15" t="n"/>
      <c r="G44" s="16" t="n"/>
      <c r="H44" s="15" t="n"/>
      <c r="I44" s="19">
        <f>IF(C44="","",(E44*Settings!$B$4+F44+G44*Settings!$B$7+H44)*(1+Settings!$B$5))</f>
        <v/>
      </c>
      <c r="J44" s="19">
        <f>IF(C44="","",C44-I44)</f>
        <v/>
      </c>
      <c r="K44" s="24">
        <f>IF(C44="","",IF(C44=0,0,J44/C44))</f>
        <v/>
      </c>
      <c r="L44" s="19">
        <f>IF(C44="","",C44-D44)</f>
        <v/>
      </c>
      <c r="M44" s="19">
        <f>IF(C44="","",J44-L44)</f>
        <v/>
      </c>
      <c r="N44" s="27">
        <f>IF(C44="","",IF(J44&lt;0,"LOST MONEY",IF(K44&lt;Settings!$B$6-0.0001,"Below target margin","OK")))</f>
        <v/>
      </c>
    </row>
    <row r="45">
      <c r="A45" s="26" t="n"/>
      <c r="B45" s="12" t="n"/>
      <c r="C45" s="15" t="n"/>
      <c r="D45" s="15" t="n"/>
      <c r="E45" s="14" t="n"/>
      <c r="F45" s="15" t="n"/>
      <c r="G45" s="16" t="n"/>
      <c r="H45" s="15" t="n"/>
      <c r="I45" s="19">
        <f>IF(C45="","",(E45*Settings!$B$4+F45+G45*Settings!$B$7+H45)*(1+Settings!$B$5))</f>
        <v/>
      </c>
      <c r="J45" s="19">
        <f>IF(C45="","",C45-I45)</f>
        <v/>
      </c>
      <c r="K45" s="24">
        <f>IF(C45="","",IF(C45=0,0,J45/C45))</f>
        <v/>
      </c>
      <c r="L45" s="19">
        <f>IF(C45="","",C45-D45)</f>
        <v/>
      </c>
      <c r="M45" s="19">
        <f>IF(C45="","",J45-L45)</f>
        <v/>
      </c>
      <c r="N45" s="27">
        <f>IF(C45="","",IF(J45&lt;0,"LOST MONEY",IF(K45&lt;Settings!$B$6-0.0001,"Below target margin","OK")))</f>
        <v/>
      </c>
    </row>
    <row r="46">
      <c r="A46" s="26" t="n"/>
      <c r="B46" s="12" t="n"/>
      <c r="C46" s="15" t="n"/>
      <c r="D46" s="15" t="n"/>
      <c r="E46" s="14" t="n"/>
      <c r="F46" s="15" t="n"/>
      <c r="G46" s="16" t="n"/>
      <c r="H46" s="15" t="n"/>
      <c r="I46" s="19">
        <f>IF(C46="","",(E46*Settings!$B$4+F46+G46*Settings!$B$7+H46)*(1+Settings!$B$5))</f>
        <v/>
      </c>
      <c r="J46" s="19">
        <f>IF(C46="","",C46-I46)</f>
        <v/>
      </c>
      <c r="K46" s="24">
        <f>IF(C46="","",IF(C46=0,0,J46/C46))</f>
        <v/>
      </c>
      <c r="L46" s="19">
        <f>IF(C46="","",C46-D46)</f>
        <v/>
      </c>
      <c r="M46" s="19">
        <f>IF(C46="","",J46-L46)</f>
        <v/>
      </c>
      <c r="N46" s="27">
        <f>IF(C46="","",IF(J46&lt;0,"LOST MONEY",IF(K46&lt;Settings!$B$6-0.0001,"Below target margin","OK")))</f>
        <v/>
      </c>
    </row>
    <row r="47">
      <c r="A47" s="26" t="n"/>
      <c r="B47" s="12" t="n"/>
      <c r="C47" s="15" t="n"/>
      <c r="D47" s="15" t="n"/>
      <c r="E47" s="14" t="n"/>
      <c r="F47" s="15" t="n"/>
      <c r="G47" s="16" t="n"/>
      <c r="H47" s="15" t="n"/>
      <c r="I47" s="19">
        <f>IF(C47="","",(E47*Settings!$B$4+F47+G47*Settings!$B$7+H47)*(1+Settings!$B$5))</f>
        <v/>
      </c>
      <c r="J47" s="19">
        <f>IF(C47="","",C47-I47)</f>
        <v/>
      </c>
      <c r="K47" s="24">
        <f>IF(C47="","",IF(C47=0,0,J47/C47))</f>
        <v/>
      </c>
      <c r="L47" s="19">
        <f>IF(C47="","",C47-D47)</f>
        <v/>
      </c>
      <c r="M47" s="19">
        <f>IF(C47="","",J47-L47)</f>
        <v/>
      </c>
      <c r="N47" s="27">
        <f>IF(C47="","",IF(J47&lt;0,"LOST MONEY",IF(K47&lt;Settings!$B$6-0.0001,"Below target margin","OK")))</f>
        <v/>
      </c>
    </row>
    <row r="48">
      <c r="A48" s="26" t="n"/>
      <c r="B48" s="12" t="n"/>
      <c r="C48" s="15" t="n"/>
      <c r="D48" s="15" t="n"/>
      <c r="E48" s="14" t="n"/>
      <c r="F48" s="15" t="n"/>
      <c r="G48" s="16" t="n"/>
      <c r="H48" s="15" t="n"/>
      <c r="I48" s="19">
        <f>IF(C48="","",(E48*Settings!$B$4+F48+G48*Settings!$B$7+H48)*(1+Settings!$B$5))</f>
        <v/>
      </c>
      <c r="J48" s="19">
        <f>IF(C48="","",C48-I48)</f>
        <v/>
      </c>
      <c r="K48" s="24">
        <f>IF(C48="","",IF(C48=0,0,J48/C48))</f>
        <v/>
      </c>
      <c r="L48" s="19">
        <f>IF(C48="","",C48-D48)</f>
        <v/>
      </c>
      <c r="M48" s="19">
        <f>IF(C48="","",J48-L48)</f>
        <v/>
      </c>
      <c r="N48" s="27">
        <f>IF(C48="","",IF(J48&lt;0,"LOST MONEY",IF(K48&lt;Settings!$B$6-0.0001,"Below target margin","OK")))</f>
        <v/>
      </c>
    </row>
    <row r="49">
      <c r="A49" s="26" t="n"/>
      <c r="B49" s="12" t="n"/>
      <c r="C49" s="15" t="n"/>
      <c r="D49" s="15" t="n"/>
      <c r="E49" s="14" t="n"/>
      <c r="F49" s="15" t="n"/>
      <c r="G49" s="16" t="n"/>
      <c r="H49" s="15" t="n"/>
      <c r="I49" s="19">
        <f>IF(C49="","",(E49*Settings!$B$4+F49+G49*Settings!$B$7+H49)*(1+Settings!$B$5))</f>
        <v/>
      </c>
      <c r="J49" s="19">
        <f>IF(C49="","",C49-I49)</f>
        <v/>
      </c>
      <c r="K49" s="24">
        <f>IF(C49="","",IF(C49=0,0,J49/C49))</f>
        <v/>
      </c>
      <c r="L49" s="19">
        <f>IF(C49="","",C49-D49)</f>
        <v/>
      </c>
      <c r="M49" s="19">
        <f>IF(C49="","",J49-L49)</f>
        <v/>
      </c>
      <c r="N49" s="27">
        <f>IF(C49="","",IF(J49&lt;0,"LOST MONEY",IF(K49&lt;Settings!$B$6-0.0001,"Below target margin","OK")))</f>
        <v/>
      </c>
    </row>
    <row r="50">
      <c r="A50" s="26" t="n"/>
      <c r="B50" s="12" t="n"/>
      <c r="C50" s="15" t="n"/>
      <c r="D50" s="15" t="n"/>
      <c r="E50" s="14" t="n"/>
      <c r="F50" s="15" t="n"/>
      <c r="G50" s="16" t="n"/>
      <c r="H50" s="15" t="n"/>
      <c r="I50" s="19">
        <f>IF(C50="","",(E50*Settings!$B$4+F50+G50*Settings!$B$7+H50)*(1+Settings!$B$5))</f>
        <v/>
      </c>
      <c r="J50" s="19">
        <f>IF(C50="","",C50-I50)</f>
        <v/>
      </c>
      <c r="K50" s="24">
        <f>IF(C50="","",IF(C50=0,0,J50/C50))</f>
        <v/>
      </c>
      <c r="L50" s="19">
        <f>IF(C50="","",C50-D50)</f>
        <v/>
      </c>
      <c r="M50" s="19">
        <f>IF(C50="","",J50-L50)</f>
        <v/>
      </c>
      <c r="N50" s="27">
        <f>IF(C50="","",IF(J50&lt;0,"LOST MONEY",IF(K50&lt;Settings!$B$6-0.0001,"Below target margin","OK")))</f>
        <v/>
      </c>
    </row>
    <row r="51">
      <c r="A51" s="26" t="n"/>
      <c r="B51" s="12" t="n"/>
      <c r="C51" s="15" t="n"/>
      <c r="D51" s="15" t="n"/>
      <c r="E51" s="14" t="n"/>
      <c r="F51" s="15" t="n"/>
      <c r="G51" s="16" t="n"/>
      <c r="H51" s="15" t="n"/>
      <c r="I51" s="19">
        <f>IF(C51="","",(E51*Settings!$B$4+F51+G51*Settings!$B$7+H51)*(1+Settings!$B$5))</f>
        <v/>
      </c>
      <c r="J51" s="19">
        <f>IF(C51="","",C51-I51)</f>
        <v/>
      </c>
      <c r="K51" s="24">
        <f>IF(C51="","",IF(C51=0,0,J51/C51))</f>
        <v/>
      </c>
      <c r="L51" s="19">
        <f>IF(C51="","",C51-D51)</f>
        <v/>
      </c>
      <c r="M51" s="19">
        <f>IF(C51="","",J51-L51)</f>
        <v/>
      </c>
      <c r="N51" s="27">
        <f>IF(C51="","",IF(J51&lt;0,"LOST MONEY",IF(K51&lt;Settings!$B$6-0.0001,"Below target margin","OK")))</f>
        <v/>
      </c>
    </row>
    <row r="52">
      <c r="A52" s="26" t="n"/>
      <c r="B52" s="12" t="n"/>
      <c r="C52" s="15" t="n"/>
      <c r="D52" s="15" t="n"/>
      <c r="E52" s="14" t="n"/>
      <c r="F52" s="15" t="n"/>
      <c r="G52" s="16" t="n"/>
      <c r="H52" s="15" t="n"/>
      <c r="I52" s="19">
        <f>IF(C52="","",(E52*Settings!$B$4+F52+G52*Settings!$B$7+H52)*(1+Settings!$B$5))</f>
        <v/>
      </c>
      <c r="J52" s="19">
        <f>IF(C52="","",C52-I52)</f>
        <v/>
      </c>
      <c r="K52" s="24">
        <f>IF(C52="","",IF(C52=0,0,J52/C52))</f>
        <v/>
      </c>
      <c r="L52" s="19">
        <f>IF(C52="","",C52-D52)</f>
        <v/>
      </c>
      <c r="M52" s="19">
        <f>IF(C52="","",J52-L52)</f>
        <v/>
      </c>
      <c r="N52" s="27">
        <f>IF(C52="","",IF(J52&lt;0,"LOST MONEY",IF(K52&lt;Settings!$B$6-0.0001,"Below target margin","OK")))</f>
        <v/>
      </c>
    </row>
    <row r="53">
      <c r="A53" s="26" t="n"/>
      <c r="B53" s="12" t="n"/>
      <c r="C53" s="15" t="n"/>
      <c r="D53" s="15" t="n"/>
      <c r="E53" s="14" t="n"/>
      <c r="F53" s="15" t="n"/>
      <c r="G53" s="16" t="n"/>
      <c r="H53" s="15" t="n"/>
      <c r="I53" s="19">
        <f>IF(C53="","",(E53*Settings!$B$4+F53+G53*Settings!$B$7+H53)*(1+Settings!$B$5))</f>
        <v/>
      </c>
      <c r="J53" s="19">
        <f>IF(C53="","",C53-I53)</f>
        <v/>
      </c>
      <c r="K53" s="24">
        <f>IF(C53="","",IF(C53=0,0,J53/C53))</f>
        <v/>
      </c>
      <c r="L53" s="19">
        <f>IF(C53="","",C53-D53)</f>
        <v/>
      </c>
      <c r="M53" s="19">
        <f>IF(C53="","",J53-L53)</f>
        <v/>
      </c>
      <c r="N53" s="27">
        <f>IF(C53="","",IF(J53&lt;0,"LOST MONEY",IF(K53&lt;Settings!$B$6-0.0001,"Below target margin","OK")))</f>
        <v/>
      </c>
    </row>
    <row r="54">
      <c r="A54" s="26" t="n"/>
      <c r="B54" s="12" t="n"/>
      <c r="C54" s="15" t="n"/>
      <c r="D54" s="15" t="n"/>
      <c r="E54" s="14" t="n"/>
      <c r="F54" s="15" t="n"/>
      <c r="G54" s="16" t="n"/>
      <c r="H54" s="15" t="n"/>
      <c r="I54" s="19">
        <f>IF(C54="","",(E54*Settings!$B$4+F54+G54*Settings!$B$7+H54)*(1+Settings!$B$5))</f>
        <v/>
      </c>
      <c r="J54" s="19">
        <f>IF(C54="","",C54-I54)</f>
        <v/>
      </c>
      <c r="K54" s="24">
        <f>IF(C54="","",IF(C54=0,0,J54/C54))</f>
        <v/>
      </c>
      <c r="L54" s="19">
        <f>IF(C54="","",C54-D54)</f>
        <v/>
      </c>
      <c r="M54" s="19">
        <f>IF(C54="","",J54-L54)</f>
        <v/>
      </c>
      <c r="N54" s="27">
        <f>IF(C54="","",IF(J54&lt;0,"LOST MONEY",IF(K54&lt;Settings!$B$6-0.0001,"Below target margin","OK")))</f>
        <v/>
      </c>
    </row>
    <row r="55">
      <c r="A55" s="26" t="n"/>
      <c r="B55" s="12" t="n"/>
      <c r="C55" s="15" t="n"/>
      <c r="D55" s="15" t="n"/>
      <c r="E55" s="14" t="n"/>
      <c r="F55" s="15" t="n"/>
      <c r="G55" s="16" t="n"/>
      <c r="H55" s="15" t="n"/>
      <c r="I55" s="19">
        <f>IF(C55="","",(E55*Settings!$B$4+F55+G55*Settings!$B$7+H55)*(1+Settings!$B$5))</f>
        <v/>
      </c>
      <c r="J55" s="19">
        <f>IF(C55="","",C55-I55)</f>
        <v/>
      </c>
      <c r="K55" s="24">
        <f>IF(C55="","",IF(C55=0,0,J55/C55))</f>
        <v/>
      </c>
      <c r="L55" s="19">
        <f>IF(C55="","",C55-D55)</f>
        <v/>
      </c>
      <c r="M55" s="19">
        <f>IF(C55="","",J55-L55)</f>
        <v/>
      </c>
      <c r="N55" s="27">
        <f>IF(C55="","",IF(J55&lt;0,"LOST MONEY",IF(K55&lt;Settings!$B$6-0.0001,"Below target margin","OK")))</f>
        <v/>
      </c>
    </row>
    <row r="56">
      <c r="A56" s="26" t="n"/>
      <c r="B56" s="12" t="n"/>
      <c r="C56" s="15" t="n"/>
      <c r="D56" s="15" t="n"/>
      <c r="E56" s="14" t="n"/>
      <c r="F56" s="15" t="n"/>
      <c r="G56" s="16" t="n"/>
      <c r="H56" s="15" t="n"/>
      <c r="I56" s="19">
        <f>IF(C56="","",(E56*Settings!$B$4+F56+G56*Settings!$B$7+H56)*(1+Settings!$B$5))</f>
        <v/>
      </c>
      <c r="J56" s="19">
        <f>IF(C56="","",C56-I56)</f>
        <v/>
      </c>
      <c r="K56" s="24">
        <f>IF(C56="","",IF(C56=0,0,J56/C56))</f>
        <v/>
      </c>
      <c r="L56" s="19">
        <f>IF(C56="","",C56-D56)</f>
        <v/>
      </c>
      <c r="M56" s="19">
        <f>IF(C56="","",J56-L56)</f>
        <v/>
      </c>
      <c r="N56" s="27">
        <f>IF(C56="","",IF(J56&lt;0,"LOST MONEY",IF(K56&lt;Settings!$B$6-0.0001,"Below target margin","OK")))</f>
        <v/>
      </c>
    </row>
    <row r="57">
      <c r="A57" s="26" t="n"/>
      <c r="B57" s="12" t="n"/>
      <c r="C57" s="15" t="n"/>
      <c r="D57" s="15" t="n"/>
      <c r="E57" s="14" t="n"/>
      <c r="F57" s="15" t="n"/>
      <c r="G57" s="16" t="n"/>
      <c r="H57" s="15" t="n"/>
      <c r="I57" s="19">
        <f>IF(C57="","",(E57*Settings!$B$4+F57+G57*Settings!$B$7+H57)*(1+Settings!$B$5))</f>
        <v/>
      </c>
      <c r="J57" s="19">
        <f>IF(C57="","",C57-I57)</f>
        <v/>
      </c>
      <c r="K57" s="24">
        <f>IF(C57="","",IF(C57=0,0,J57/C57))</f>
        <v/>
      </c>
      <c r="L57" s="19">
        <f>IF(C57="","",C57-D57)</f>
        <v/>
      </c>
      <c r="M57" s="19">
        <f>IF(C57="","",J57-L57)</f>
        <v/>
      </c>
      <c r="N57" s="27">
        <f>IF(C57="","",IF(J57&lt;0,"LOST MONEY",IF(K57&lt;Settings!$B$6-0.0001,"Below target margin","OK")))</f>
        <v/>
      </c>
    </row>
    <row r="58">
      <c r="A58" s="26" t="n"/>
      <c r="B58" s="12" t="n"/>
      <c r="C58" s="15" t="n"/>
      <c r="D58" s="15" t="n"/>
      <c r="E58" s="14" t="n"/>
      <c r="F58" s="15" t="n"/>
      <c r="G58" s="16" t="n"/>
      <c r="H58" s="15" t="n"/>
      <c r="I58" s="19">
        <f>IF(C58="","",(E58*Settings!$B$4+F58+G58*Settings!$B$7+H58)*(1+Settings!$B$5))</f>
        <v/>
      </c>
      <c r="J58" s="19">
        <f>IF(C58="","",C58-I58)</f>
        <v/>
      </c>
      <c r="K58" s="24">
        <f>IF(C58="","",IF(C58=0,0,J58/C58))</f>
        <v/>
      </c>
      <c r="L58" s="19">
        <f>IF(C58="","",C58-D58)</f>
        <v/>
      </c>
      <c r="M58" s="19">
        <f>IF(C58="","",J58-L58)</f>
        <v/>
      </c>
      <c r="N58" s="27">
        <f>IF(C58="","",IF(J58&lt;0,"LOST MONEY",IF(K58&lt;Settings!$B$6-0.0001,"Below target margin","OK")))</f>
        <v/>
      </c>
    </row>
    <row r="59">
      <c r="A59" s="26" t="n"/>
      <c r="B59" s="12" t="n"/>
      <c r="C59" s="15" t="n"/>
      <c r="D59" s="15" t="n"/>
      <c r="E59" s="14" t="n"/>
      <c r="F59" s="15" t="n"/>
      <c r="G59" s="16" t="n"/>
      <c r="H59" s="15" t="n"/>
      <c r="I59" s="19">
        <f>IF(C59="","",(E59*Settings!$B$4+F59+G59*Settings!$B$7+H59)*(1+Settings!$B$5))</f>
        <v/>
      </c>
      <c r="J59" s="19">
        <f>IF(C59="","",C59-I59)</f>
        <v/>
      </c>
      <c r="K59" s="24">
        <f>IF(C59="","",IF(C59=0,0,J59/C59))</f>
        <v/>
      </c>
      <c r="L59" s="19">
        <f>IF(C59="","",C59-D59)</f>
        <v/>
      </c>
      <c r="M59" s="19">
        <f>IF(C59="","",J59-L59)</f>
        <v/>
      </c>
      <c r="N59" s="27">
        <f>IF(C59="","",IF(J59&lt;0,"LOST MONEY",IF(K59&lt;Settings!$B$6-0.0001,"Below target margin","OK")))</f>
        <v/>
      </c>
    </row>
    <row r="60">
      <c r="A60" s="26" t="n"/>
      <c r="B60" s="12" t="n"/>
      <c r="C60" s="15" t="n"/>
      <c r="D60" s="15" t="n"/>
      <c r="E60" s="14" t="n"/>
      <c r="F60" s="15" t="n"/>
      <c r="G60" s="16" t="n"/>
      <c r="H60" s="15" t="n"/>
      <c r="I60" s="19">
        <f>IF(C60="","",(E60*Settings!$B$4+F60+G60*Settings!$B$7+H60)*(1+Settings!$B$5))</f>
        <v/>
      </c>
      <c r="J60" s="19">
        <f>IF(C60="","",C60-I60)</f>
        <v/>
      </c>
      <c r="K60" s="24">
        <f>IF(C60="","",IF(C60=0,0,J60/C60))</f>
        <v/>
      </c>
      <c r="L60" s="19">
        <f>IF(C60="","",C60-D60)</f>
        <v/>
      </c>
      <c r="M60" s="19">
        <f>IF(C60="","",J60-L60)</f>
        <v/>
      </c>
      <c r="N60" s="27">
        <f>IF(C60="","",IF(J60&lt;0,"LOST MONEY",IF(K60&lt;Settings!$B$6-0.0001,"Below target margin","OK")))</f>
        <v/>
      </c>
    </row>
    <row r="61">
      <c r="A61" s="26" t="n"/>
      <c r="B61" s="12" t="n"/>
      <c r="C61" s="15" t="n"/>
      <c r="D61" s="15" t="n"/>
      <c r="E61" s="14" t="n"/>
      <c r="F61" s="15" t="n"/>
      <c r="G61" s="16" t="n"/>
      <c r="H61" s="15" t="n"/>
      <c r="I61" s="19">
        <f>IF(C61="","",(E61*Settings!$B$4+F61+G61*Settings!$B$7+H61)*(1+Settings!$B$5))</f>
        <v/>
      </c>
      <c r="J61" s="19">
        <f>IF(C61="","",C61-I61)</f>
        <v/>
      </c>
      <c r="K61" s="24">
        <f>IF(C61="","",IF(C61=0,0,J61/C61))</f>
        <v/>
      </c>
      <c r="L61" s="19">
        <f>IF(C61="","",C61-D61)</f>
        <v/>
      </c>
      <c r="M61" s="19">
        <f>IF(C61="","",J61-L61)</f>
        <v/>
      </c>
      <c r="N61" s="27">
        <f>IF(C61="","",IF(J61&lt;0,"LOST MONEY",IF(K61&lt;Settings!$B$6-0.0001,"Below target margin","OK")))</f>
        <v/>
      </c>
    </row>
    <row r="62">
      <c r="A62" s="26" t="n"/>
      <c r="B62" s="12" t="n"/>
      <c r="C62" s="15" t="n"/>
      <c r="D62" s="15" t="n"/>
      <c r="E62" s="14" t="n"/>
      <c r="F62" s="15" t="n"/>
      <c r="G62" s="16" t="n"/>
      <c r="H62" s="15" t="n"/>
      <c r="I62" s="19">
        <f>IF(C62="","",(E62*Settings!$B$4+F62+G62*Settings!$B$7+H62)*(1+Settings!$B$5))</f>
        <v/>
      </c>
      <c r="J62" s="19">
        <f>IF(C62="","",C62-I62)</f>
        <v/>
      </c>
      <c r="K62" s="24">
        <f>IF(C62="","",IF(C62=0,0,J62/C62))</f>
        <v/>
      </c>
      <c r="L62" s="19">
        <f>IF(C62="","",C62-D62)</f>
        <v/>
      </c>
      <c r="M62" s="19">
        <f>IF(C62="","",J62-L62)</f>
        <v/>
      </c>
      <c r="N62" s="27">
        <f>IF(C62="","",IF(J62&lt;0,"LOST MONEY",IF(K62&lt;Settings!$B$6-0.0001,"Below target margin","OK")))</f>
        <v/>
      </c>
    </row>
    <row r="63">
      <c r="A63" s="26" t="n"/>
      <c r="B63" s="12" t="n"/>
      <c r="C63" s="15" t="n"/>
      <c r="D63" s="15" t="n"/>
      <c r="E63" s="14" t="n"/>
      <c r="F63" s="15" t="n"/>
      <c r="G63" s="16" t="n"/>
      <c r="H63" s="15" t="n"/>
      <c r="I63" s="19">
        <f>IF(C63="","",(E63*Settings!$B$4+F63+G63*Settings!$B$7+H63)*(1+Settings!$B$5))</f>
        <v/>
      </c>
      <c r="J63" s="19">
        <f>IF(C63="","",C63-I63)</f>
        <v/>
      </c>
      <c r="K63" s="24">
        <f>IF(C63="","",IF(C63=0,0,J63/C63))</f>
        <v/>
      </c>
      <c r="L63" s="19">
        <f>IF(C63="","",C63-D63)</f>
        <v/>
      </c>
      <c r="M63" s="19">
        <f>IF(C63="","",J63-L63)</f>
        <v/>
      </c>
      <c r="N63" s="27">
        <f>IF(C63="","",IF(J63&lt;0,"LOST MONEY",IF(K63&lt;Settings!$B$6-0.0001,"Below target margin","OK")))</f>
        <v/>
      </c>
    </row>
    <row r="64">
      <c r="A64" s="26" t="n"/>
      <c r="B64" s="12" t="n"/>
      <c r="C64" s="15" t="n"/>
      <c r="D64" s="15" t="n"/>
      <c r="E64" s="14" t="n"/>
      <c r="F64" s="15" t="n"/>
      <c r="G64" s="16" t="n"/>
      <c r="H64" s="15" t="n"/>
      <c r="I64" s="19">
        <f>IF(C64="","",(E64*Settings!$B$4+F64+G64*Settings!$B$7+H64)*(1+Settings!$B$5))</f>
        <v/>
      </c>
      <c r="J64" s="19">
        <f>IF(C64="","",C64-I64)</f>
        <v/>
      </c>
      <c r="K64" s="24">
        <f>IF(C64="","",IF(C64=0,0,J64/C64))</f>
        <v/>
      </c>
      <c r="L64" s="19">
        <f>IF(C64="","",C64-D64)</f>
        <v/>
      </c>
      <c r="M64" s="19">
        <f>IF(C64="","",J64-L64)</f>
        <v/>
      </c>
      <c r="N64" s="27">
        <f>IF(C64="","",IF(J64&lt;0,"LOST MONEY",IF(K64&lt;Settings!$B$6-0.0001,"Below target margin","OK")))</f>
        <v/>
      </c>
    </row>
    <row r="65">
      <c r="A65" s="26" t="n"/>
      <c r="B65" s="12" t="n"/>
      <c r="C65" s="15" t="n"/>
      <c r="D65" s="15" t="n"/>
      <c r="E65" s="14" t="n"/>
      <c r="F65" s="15" t="n"/>
      <c r="G65" s="16" t="n"/>
      <c r="H65" s="15" t="n"/>
      <c r="I65" s="19">
        <f>IF(C65="","",(E65*Settings!$B$4+F65+G65*Settings!$B$7+H65)*(1+Settings!$B$5))</f>
        <v/>
      </c>
      <c r="J65" s="19">
        <f>IF(C65="","",C65-I65)</f>
        <v/>
      </c>
      <c r="K65" s="24">
        <f>IF(C65="","",IF(C65=0,0,J65/C65))</f>
        <v/>
      </c>
      <c r="L65" s="19">
        <f>IF(C65="","",C65-D65)</f>
        <v/>
      </c>
      <c r="M65" s="19">
        <f>IF(C65="","",J65-L65)</f>
        <v/>
      </c>
      <c r="N65" s="27">
        <f>IF(C65="","",IF(J65&lt;0,"LOST MONEY",IF(K65&lt;Settings!$B$6-0.0001,"Below target margin","OK")))</f>
        <v/>
      </c>
    </row>
    <row r="66">
      <c r="A66" s="26" t="n"/>
      <c r="B66" s="12" t="n"/>
      <c r="C66" s="15" t="n"/>
      <c r="D66" s="15" t="n"/>
      <c r="E66" s="14" t="n"/>
      <c r="F66" s="15" t="n"/>
      <c r="G66" s="16" t="n"/>
      <c r="H66" s="15" t="n"/>
      <c r="I66" s="19">
        <f>IF(C66="","",(E66*Settings!$B$4+F66+G66*Settings!$B$7+H66)*(1+Settings!$B$5))</f>
        <v/>
      </c>
      <c r="J66" s="19">
        <f>IF(C66="","",C66-I66)</f>
        <v/>
      </c>
      <c r="K66" s="24">
        <f>IF(C66="","",IF(C66=0,0,J66/C66))</f>
        <v/>
      </c>
      <c r="L66" s="19">
        <f>IF(C66="","",C66-D66)</f>
        <v/>
      </c>
      <c r="M66" s="19">
        <f>IF(C66="","",J66-L66)</f>
        <v/>
      </c>
      <c r="N66" s="27">
        <f>IF(C66="","",IF(J66&lt;0,"LOST MONEY",IF(K66&lt;Settings!$B$6-0.0001,"Below target margin","OK")))</f>
        <v/>
      </c>
    </row>
    <row r="67">
      <c r="A67" s="26" t="n"/>
      <c r="B67" s="12" t="n"/>
      <c r="C67" s="15" t="n"/>
      <c r="D67" s="15" t="n"/>
      <c r="E67" s="14" t="n"/>
      <c r="F67" s="15" t="n"/>
      <c r="G67" s="16" t="n"/>
      <c r="H67" s="15" t="n"/>
      <c r="I67" s="19">
        <f>IF(C67="","",(E67*Settings!$B$4+F67+G67*Settings!$B$7+H67)*(1+Settings!$B$5))</f>
        <v/>
      </c>
      <c r="J67" s="19">
        <f>IF(C67="","",C67-I67)</f>
        <v/>
      </c>
      <c r="K67" s="24">
        <f>IF(C67="","",IF(C67=0,0,J67/C67))</f>
        <v/>
      </c>
      <c r="L67" s="19">
        <f>IF(C67="","",C67-D67)</f>
        <v/>
      </c>
      <c r="M67" s="19">
        <f>IF(C67="","",J67-L67)</f>
        <v/>
      </c>
      <c r="N67" s="27">
        <f>IF(C67="","",IF(J67&lt;0,"LOST MONEY",IF(K67&lt;Settings!$B$6-0.0001,"Below target margin","OK")))</f>
        <v/>
      </c>
    </row>
    <row r="68">
      <c r="A68" s="26" t="n"/>
      <c r="B68" s="12" t="n"/>
      <c r="C68" s="15" t="n"/>
      <c r="D68" s="15" t="n"/>
      <c r="E68" s="14" t="n"/>
      <c r="F68" s="15" t="n"/>
      <c r="G68" s="16" t="n"/>
      <c r="H68" s="15" t="n"/>
      <c r="I68" s="19">
        <f>IF(C68="","",(E68*Settings!$B$4+F68+G68*Settings!$B$7+H68)*(1+Settings!$B$5))</f>
        <v/>
      </c>
      <c r="J68" s="19">
        <f>IF(C68="","",C68-I68)</f>
        <v/>
      </c>
      <c r="K68" s="24">
        <f>IF(C68="","",IF(C68=0,0,J68/C68))</f>
        <v/>
      </c>
      <c r="L68" s="19">
        <f>IF(C68="","",C68-D68)</f>
        <v/>
      </c>
      <c r="M68" s="19">
        <f>IF(C68="","",J68-L68)</f>
        <v/>
      </c>
      <c r="N68" s="27">
        <f>IF(C68="","",IF(J68&lt;0,"LOST MONEY",IF(K68&lt;Settings!$B$6-0.0001,"Below target margin","OK")))</f>
        <v/>
      </c>
    </row>
    <row r="69">
      <c r="A69" s="26" t="n"/>
      <c r="B69" s="12" t="n"/>
      <c r="C69" s="15" t="n"/>
      <c r="D69" s="15" t="n"/>
      <c r="E69" s="14" t="n"/>
      <c r="F69" s="15" t="n"/>
      <c r="G69" s="16" t="n"/>
      <c r="H69" s="15" t="n"/>
      <c r="I69" s="19">
        <f>IF(C69="","",(E69*Settings!$B$4+F69+G69*Settings!$B$7+H69)*(1+Settings!$B$5))</f>
        <v/>
      </c>
      <c r="J69" s="19">
        <f>IF(C69="","",C69-I69)</f>
        <v/>
      </c>
      <c r="K69" s="24">
        <f>IF(C69="","",IF(C69=0,0,J69/C69))</f>
        <v/>
      </c>
      <c r="L69" s="19">
        <f>IF(C69="","",C69-D69)</f>
        <v/>
      </c>
      <c r="M69" s="19">
        <f>IF(C69="","",J69-L69)</f>
        <v/>
      </c>
      <c r="N69" s="27">
        <f>IF(C69="","",IF(J69&lt;0,"LOST MONEY",IF(K69&lt;Settings!$B$6-0.0001,"Below target margin","OK")))</f>
        <v/>
      </c>
    </row>
    <row r="70">
      <c r="A70" s="26" t="n"/>
      <c r="B70" s="12" t="n"/>
      <c r="C70" s="15" t="n"/>
      <c r="D70" s="15" t="n"/>
      <c r="E70" s="14" t="n"/>
      <c r="F70" s="15" t="n"/>
      <c r="G70" s="16" t="n"/>
      <c r="H70" s="15" t="n"/>
      <c r="I70" s="19">
        <f>IF(C70="","",(E70*Settings!$B$4+F70+G70*Settings!$B$7+H70)*(1+Settings!$B$5))</f>
        <v/>
      </c>
      <c r="J70" s="19">
        <f>IF(C70="","",C70-I70)</f>
        <v/>
      </c>
      <c r="K70" s="24">
        <f>IF(C70="","",IF(C70=0,0,J70/C70))</f>
        <v/>
      </c>
      <c r="L70" s="19">
        <f>IF(C70="","",C70-D70)</f>
        <v/>
      </c>
      <c r="M70" s="19">
        <f>IF(C70="","",J70-L70)</f>
        <v/>
      </c>
      <c r="N70" s="27">
        <f>IF(C70="","",IF(J70&lt;0,"LOST MONEY",IF(K70&lt;Settings!$B$6-0.0001,"Below target margin","OK")))</f>
        <v/>
      </c>
    </row>
    <row r="71">
      <c r="A71" s="26" t="n"/>
      <c r="B71" s="12" t="n"/>
      <c r="C71" s="15" t="n"/>
      <c r="D71" s="15" t="n"/>
      <c r="E71" s="14" t="n"/>
      <c r="F71" s="15" t="n"/>
      <c r="G71" s="16" t="n"/>
      <c r="H71" s="15" t="n"/>
      <c r="I71" s="19">
        <f>IF(C71="","",(E71*Settings!$B$4+F71+G71*Settings!$B$7+H71)*(1+Settings!$B$5))</f>
        <v/>
      </c>
      <c r="J71" s="19">
        <f>IF(C71="","",C71-I71)</f>
        <v/>
      </c>
      <c r="K71" s="24">
        <f>IF(C71="","",IF(C71=0,0,J71/C71))</f>
        <v/>
      </c>
      <c r="L71" s="19">
        <f>IF(C71="","",C71-D71)</f>
        <v/>
      </c>
      <c r="M71" s="19">
        <f>IF(C71="","",J71-L71)</f>
        <v/>
      </c>
      <c r="N71" s="27">
        <f>IF(C71="","",IF(J71&lt;0,"LOST MONEY",IF(K71&lt;Settings!$B$6-0.0001,"Below target margin","OK")))</f>
        <v/>
      </c>
    </row>
    <row r="72">
      <c r="A72" s="26" t="n"/>
      <c r="B72" s="12" t="n"/>
      <c r="C72" s="15" t="n"/>
      <c r="D72" s="15" t="n"/>
      <c r="E72" s="14" t="n"/>
      <c r="F72" s="15" t="n"/>
      <c r="G72" s="16" t="n"/>
      <c r="H72" s="15" t="n"/>
      <c r="I72" s="19">
        <f>IF(C72="","",(E72*Settings!$B$4+F72+G72*Settings!$B$7+H72)*(1+Settings!$B$5))</f>
        <v/>
      </c>
      <c r="J72" s="19">
        <f>IF(C72="","",C72-I72)</f>
        <v/>
      </c>
      <c r="K72" s="24">
        <f>IF(C72="","",IF(C72=0,0,J72/C72))</f>
        <v/>
      </c>
      <c r="L72" s="19">
        <f>IF(C72="","",C72-D72)</f>
        <v/>
      </c>
      <c r="M72" s="19">
        <f>IF(C72="","",J72-L72)</f>
        <v/>
      </c>
      <c r="N72" s="27">
        <f>IF(C72="","",IF(J72&lt;0,"LOST MONEY",IF(K72&lt;Settings!$B$6-0.0001,"Below target margin","OK")))</f>
        <v/>
      </c>
    </row>
    <row r="73">
      <c r="A73" s="26" t="n"/>
      <c r="B73" s="12" t="n"/>
      <c r="C73" s="15" t="n"/>
      <c r="D73" s="15" t="n"/>
      <c r="E73" s="14" t="n"/>
      <c r="F73" s="15" t="n"/>
      <c r="G73" s="16" t="n"/>
      <c r="H73" s="15" t="n"/>
      <c r="I73" s="19">
        <f>IF(C73="","",(E73*Settings!$B$4+F73+G73*Settings!$B$7+H73)*(1+Settings!$B$5))</f>
        <v/>
      </c>
      <c r="J73" s="19">
        <f>IF(C73="","",C73-I73)</f>
        <v/>
      </c>
      <c r="K73" s="24">
        <f>IF(C73="","",IF(C73=0,0,J73/C73))</f>
        <v/>
      </c>
      <c r="L73" s="19">
        <f>IF(C73="","",C73-D73)</f>
        <v/>
      </c>
      <c r="M73" s="19">
        <f>IF(C73="","",J73-L73)</f>
        <v/>
      </c>
      <c r="N73" s="27">
        <f>IF(C73="","",IF(J73&lt;0,"LOST MONEY",IF(K73&lt;Settings!$B$6-0.0001,"Below target margin","OK")))</f>
        <v/>
      </c>
    </row>
    <row r="74">
      <c r="A74" s="26" t="n"/>
      <c r="B74" s="12" t="n"/>
      <c r="C74" s="15" t="n"/>
      <c r="D74" s="15" t="n"/>
      <c r="E74" s="14" t="n"/>
      <c r="F74" s="15" t="n"/>
      <c r="G74" s="16" t="n"/>
      <c r="H74" s="15" t="n"/>
      <c r="I74" s="19">
        <f>IF(C74="","",(E74*Settings!$B$4+F74+G74*Settings!$B$7+H74)*(1+Settings!$B$5))</f>
        <v/>
      </c>
      <c r="J74" s="19">
        <f>IF(C74="","",C74-I74)</f>
        <v/>
      </c>
      <c r="K74" s="24">
        <f>IF(C74="","",IF(C74=0,0,J74/C74))</f>
        <v/>
      </c>
      <c r="L74" s="19">
        <f>IF(C74="","",C74-D74)</f>
        <v/>
      </c>
      <c r="M74" s="19">
        <f>IF(C74="","",J74-L74)</f>
        <v/>
      </c>
      <c r="N74" s="27">
        <f>IF(C74="","",IF(J74&lt;0,"LOST MONEY",IF(K74&lt;Settings!$B$6-0.0001,"Below target margin","OK")))</f>
        <v/>
      </c>
    </row>
    <row r="75">
      <c r="A75" s="26" t="n"/>
      <c r="B75" s="12" t="n"/>
      <c r="C75" s="15" t="n"/>
      <c r="D75" s="15" t="n"/>
      <c r="E75" s="14" t="n"/>
      <c r="F75" s="15" t="n"/>
      <c r="G75" s="16" t="n"/>
      <c r="H75" s="15" t="n"/>
      <c r="I75" s="19">
        <f>IF(C75="","",(E75*Settings!$B$4+F75+G75*Settings!$B$7+H75)*(1+Settings!$B$5))</f>
        <v/>
      </c>
      <c r="J75" s="19">
        <f>IF(C75="","",C75-I75)</f>
        <v/>
      </c>
      <c r="K75" s="24">
        <f>IF(C75="","",IF(C75=0,0,J75/C75))</f>
        <v/>
      </c>
      <c r="L75" s="19">
        <f>IF(C75="","",C75-D75)</f>
        <v/>
      </c>
      <c r="M75" s="19">
        <f>IF(C75="","",J75-L75)</f>
        <v/>
      </c>
      <c r="N75" s="27">
        <f>IF(C75="","",IF(J75&lt;0,"LOST MONEY",IF(K75&lt;Settings!$B$6-0.0001,"Below target margin","OK")))</f>
        <v/>
      </c>
    </row>
    <row r="76">
      <c r="A76" s="26" t="n"/>
      <c r="B76" s="12" t="n"/>
      <c r="C76" s="15" t="n"/>
      <c r="D76" s="15" t="n"/>
      <c r="E76" s="14" t="n"/>
      <c r="F76" s="15" t="n"/>
      <c r="G76" s="16" t="n"/>
      <c r="H76" s="15" t="n"/>
      <c r="I76" s="19">
        <f>IF(C76="","",(E76*Settings!$B$4+F76+G76*Settings!$B$7+H76)*(1+Settings!$B$5))</f>
        <v/>
      </c>
      <c r="J76" s="19">
        <f>IF(C76="","",C76-I76)</f>
        <v/>
      </c>
      <c r="K76" s="24">
        <f>IF(C76="","",IF(C76=0,0,J76/C76))</f>
        <v/>
      </c>
      <c r="L76" s="19">
        <f>IF(C76="","",C76-D76)</f>
        <v/>
      </c>
      <c r="M76" s="19">
        <f>IF(C76="","",J76-L76)</f>
        <v/>
      </c>
      <c r="N76" s="27">
        <f>IF(C76="","",IF(J76&lt;0,"LOST MONEY",IF(K76&lt;Settings!$B$6-0.0001,"Below target margin","OK")))</f>
        <v/>
      </c>
    </row>
    <row r="77">
      <c r="A77" s="26" t="n"/>
      <c r="B77" s="12" t="n"/>
      <c r="C77" s="15" t="n"/>
      <c r="D77" s="15" t="n"/>
      <c r="E77" s="14" t="n"/>
      <c r="F77" s="15" t="n"/>
      <c r="G77" s="16" t="n"/>
      <c r="H77" s="15" t="n"/>
      <c r="I77" s="19">
        <f>IF(C77="","",(E77*Settings!$B$4+F77+G77*Settings!$B$7+H77)*(1+Settings!$B$5))</f>
        <v/>
      </c>
      <c r="J77" s="19">
        <f>IF(C77="","",C77-I77)</f>
        <v/>
      </c>
      <c r="K77" s="24">
        <f>IF(C77="","",IF(C77=0,0,J77/C77))</f>
        <v/>
      </c>
      <c r="L77" s="19">
        <f>IF(C77="","",C77-D77)</f>
        <v/>
      </c>
      <c r="M77" s="19">
        <f>IF(C77="","",J77-L77)</f>
        <v/>
      </c>
      <c r="N77" s="27">
        <f>IF(C77="","",IF(J77&lt;0,"LOST MONEY",IF(K77&lt;Settings!$B$6-0.0001,"Below target margin","OK")))</f>
        <v/>
      </c>
    </row>
    <row r="78">
      <c r="A78" s="26" t="n"/>
      <c r="B78" s="12" t="n"/>
      <c r="C78" s="15" t="n"/>
      <c r="D78" s="15" t="n"/>
      <c r="E78" s="14" t="n"/>
      <c r="F78" s="15" t="n"/>
      <c r="G78" s="16" t="n"/>
      <c r="H78" s="15" t="n"/>
      <c r="I78" s="19">
        <f>IF(C78="","",(E78*Settings!$B$4+F78+G78*Settings!$B$7+H78)*(1+Settings!$B$5))</f>
        <v/>
      </c>
      <c r="J78" s="19">
        <f>IF(C78="","",C78-I78)</f>
        <v/>
      </c>
      <c r="K78" s="24">
        <f>IF(C78="","",IF(C78=0,0,J78/C78))</f>
        <v/>
      </c>
      <c r="L78" s="19">
        <f>IF(C78="","",C78-D78)</f>
        <v/>
      </c>
      <c r="M78" s="19">
        <f>IF(C78="","",J78-L78)</f>
        <v/>
      </c>
      <c r="N78" s="27">
        <f>IF(C78="","",IF(J78&lt;0,"LOST MONEY",IF(K78&lt;Settings!$B$6-0.0001,"Below target margin","OK")))</f>
        <v/>
      </c>
    </row>
    <row r="79">
      <c r="A79" s="26" t="n"/>
      <c r="B79" s="12" t="n"/>
      <c r="C79" s="15" t="n"/>
      <c r="D79" s="15" t="n"/>
      <c r="E79" s="14" t="n"/>
      <c r="F79" s="15" t="n"/>
      <c r="G79" s="16" t="n"/>
      <c r="H79" s="15" t="n"/>
      <c r="I79" s="19">
        <f>IF(C79="","",(E79*Settings!$B$4+F79+G79*Settings!$B$7+H79)*(1+Settings!$B$5))</f>
        <v/>
      </c>
      <c r="J79" s="19">
        <f>IF(C79="","",C79-I79)</f>
        <v/>
      </c>
      <c r="K79" s="24">
        <f>IF(C79="","",IF(C79=0,0,J79/C79))</f>
        <v/>
      </c>
      <c r="L79" s="19">
        <f>IF(C79="","",C79-D79)</f>
        <v/>
      </c>
      <c r="M79" s="19">
        <f>IF(C79="","",J79-L79)</f>
        <v/>
      </c>
      <c r="N79" s="27">
        <f>IF(C79="","",IF(J79&lt;0,"LOST MONEY",IF(K79&lt;Settings!$B$6-0.0001,"Below target margin","OK")))</f>
        <v/>
      </c>
    </row>
    <row r="80">
      <c r="A80" s="26" t="n"/>
      <c r="B80" s="12" t="n"/>
      <c r="C80" s="15" t="n"/>
      <c r="D80" s="15" t="n"/>
      <c r="E80" s="14" t="n"/>
      <c r="F80" s="15" t="n"/>
      <c r="G80" s="16" t="n"/>
      <c r="H80" s="15" t="n"/>
      <c r="I80" s="19">
        <f>IF(C80="","",(E80*Settings!$B$4+F80+G80*Settings!$B$7+H80)*(1+Settings!$B$5))</f>
        <v/>
      </c>
      <c r="J80" s="19">
        <f>IF(C80="","",C80-I80)</f>
        <v/>
      </c>
      <c r="K80" s="24">
        <f>IF(C80="","",IF(C80=0,0,J80/C80))</f>
        <v/>
      </c>
      <c r="L80" s="19">
        <f>IF(C80="","",C80-D80)</f>
        <v/>
      </c>
      <c r="M80" s="19">
        <f>IF(C80="","",J80-L80)</f>
        <v/>
      </c>
      <c r="N80" s="27">
        <f>IF(C80="","",IF(J80&lt;0,"LOST MONEY",IF(K80&lt;Settings!$B$6-0.0001,"Below target margin","OK")))</f>
        <v/>
      </c>
    </row>
    <row r="81">
      <c r="A81" s="26" t="n"/>
      <c r="B81" s="12" t="n"/>
      <c r="C81" s="15" t="n"/>
      <c r="D81" s="15" t="n"/>
      <c r="E81" s="14" t="n"/>
      <c r="F81" s="15" t="n"/>
      <c r="G81" s="16" t="n"/>
      <c r="H81" s="15" t="n"/>
      <c r="I81" s="19">
        <f>IF(C81="","",(E81*Settings!$B$4+F81+G81*Settings!$B$7+H81)*(1+Settings!$B$5))</f>
        <v/>
      </c>
      <c r="J81" s="19">
        <f>IF(C81="","",C81-I81)</f>
        <v/>
      </c>
      <c r="K81" s="24">
        <f>IF(C81="","",IF(C81=0,0,J81/C81))</f>
        <v/>
      </c>
      <c r="L81" s="19">
        <f>IF(C81="","",C81-D81)</f>
        <v/>
      </c>
      <c r="M81" s="19">
        <f>IF(C81="","",J81-L81)</f>
        <v/>
      </c>
      <c r="N81" s="27">
        <f>IF(C81="","",IF(J81&lt;0,"LOST MONEY",IF(K81&lt;Settings!$B$6-0.0001,"Below target margin","OK")))</f>
        <v/>
      </c>
    </row>
    <row r="82">
      <c r="A82" s="26" t="n"/>
      <c r="B82" s="12" t="n"/>
      <c r="C82" s="15" t="n"/>
      <c r="D82" s="15" t="n"/>
      <c r="E82" s="14" t="n"/>
      <c r="F82" s="15" t="n"/>
      <c r="G82" s="16" t="n"/>
      <c r="H82" s="15" t="n"/>
      <c r="I82" s="19">
        <f>IF(C82="","",(E82*Settings!$B$4+F82+G82*Settings!$B$7+H82)*(1+Settings!$B$5))</f>
        <v/>
      </c>
      <c r="J82" s="19">
        <f>IF(C82="","",C82-I82)</f>
        <v/>
      </c>
      <c r="K82" s="24">
        <f>IF(C82="","",IF(C82=0,0,J82/C82))</f>
        <v/>
      </c>
      <c r="L82" s="19">
        <f>IF(C82="","",C82-D82)</f>
        <v/>
      </c>
      <c r="M82" s="19">
        <f>IF(C82="","",J82-L82)</f>
        <v/>
      </c>
      <c r="N82" s="27">
        <f>IF(C82="","",IF(J82&lt;0,"LOST MONEY",IF(K82&lt;Settings!$B$6-0.0001,"Below target margin","OK")))</f>
        <v/>
      </c>
    </row>
    <row r="83">
      <c r="A83" s="26" t="n"/>
      <c r="B83" s="12" t="n"/>
      <c r="C83" s="15" t="n"/>
      <c r="D83" s="15" t="n"/>
      <c r="E83" s="14" t="n"/>
      <c r="F83" s="15" t="n"/>
      <c r="G83" s="16" t="n"/>
      <c r="H83" s="15" t="n"/>
      <c r="I83" s="19">
        <f>IF(C83="","",(E83*Settings!$B$4+F83+G83*Settings!$B$7+H83)*(1+Settings!$B$5))</f>
        <v/>
      </c>
      <c r="J83" s="19">
        <f>IF(C83="","",C83-I83)</f>
        <v/>
      </c>
      <c r="K83" s="24">
        <f>IF(C83="","",IF(C83=0,0,J83/C83))</f>
        <v/>
      </c>
      <c r="L83" s="19">
        <f>IF(C83="","",C83-D83)</f>
        <v/>
      </c>
      <c r="M83" s="19">
        <f>IF(C83="","",J83-L83)</f>
        <v/>
      </c>
      <c r="N83" s="27">
        <f>IF(C83="","",IF(J83&lt;0,"LOST MONEY",IF(K83&lt;Settings!$B$6-0.0001,"Below target margin","OK")))</f>
        <v/>
      </c>
    </row>
    <row r="84">
      <c r="A84" s="26" t="n"/>
      <c r="B84" s="12" t="n"/>
      <c r="C84" s="15" t="n"/>
      <c r="D84" s="15" t="n"/>
      <c r="E84" s="14" t="n"/>
      <c r="F84" s="15" t="n"/>
      <c r="G84" s="16" t="n"/>
      <c r="H84" s="15" t="n"/>
      <c r="I84" s="19">
        <f>IF(C84="","",(E84*Settings!$B$4+F84+G84*Settings!$B$7+H84)*(1+Settings!$B$5))</f>
        <v/>
      </c>
      <c r="J84" s="19">
        <f>IF(C84="","",C84-I84)</f>
        <v/>
      </c>
      <c r="K84" s="24">
        <f>IF(C84="","",IF(C84=0,0,J84/C84))</f>
        <v/>
      </c>
      <c r="L84" s="19">
        <f>IF(C84="","",C84-D84)</f>
        <v/>
      </c>
      <c r="M84" s="19">
        <f>IF(C84="","",J84-L84)</f>
        <v/>
      </c>
      <c r="N84" s="27">
        <f>IF(C84="","",IF(J84&lt;0,"LOST MONEY",IF(K84&lt;Settings!$B$6-0.0001,"Below target margin","OK")))</f>
        <v/>
      </c>
    </row>
    <row r="85">
      <c r="A85" s="26" t="n"/>
      <c r="B85" s="12" t="n"/>
      <c r="C85" s="15" t="n"/>
      <c r="D85" s="15" t="n"/>
      <c r="E85" s="14" t="n"/>
      <c r="F85" s="15" t="n"/>
      <c r="G85" s="16" t="n"/>
      <c r="H85" s="15" t="n"/>
      <c r="I85" s="19">
        <f>IF(C85="","",(E85*Settings!$B$4+F85+G85*Settings!$B$7+H85)*(1+Settings!$B$5))</f>
        <v/>
      </c>
      <c r="J85" s="19">
        <f>IF(C85="","",C85-I85)</f>
        <v/>
      </c>
      <c r="K85" s="24">
        <f>IF(C85="","",IF(C85=0,0,J85/C85))</f>
        <v/>
      </c>
      <c r="L85" s="19">
        <f>IF(C85="","",C85-D85)</f>
        <v/>
      </c>
      <c r="M85" s="19">
        <f>IF(C85="","",J85-L85)</f>
        <v/>
      </c>
      <c r="N85" s="27">
        <f>IF(C85="","",IF(J85&lt;0,"LOST MONEY",IF(K85&lt;Settings!$B$6-0.0001,"Below target margin","OK")))</f>
        <v/>
      </c>
    </row>
    <row r="86">
      <c r="A86" s="26" t="n"/>
      <c r="B86" s="12" t="n"/>
      <c r="C86" s="15" t="n"/>
      <c r="D86" s="15" t="n"/>
      <c r="E86" s="14" t="n"/>
      <c r="F86" s="15" t="n"/>
      <c r="G86" s="16" t="n"/>
      <c r="H86" s="15" t="n"/>
      <c r="I86" s="19">
        <f>IF(C86="","",(E86*Settings!$B$4+F86+G86*Settings!$B$7+H86)*(1+Settings!$B$5))</f>
        <v/>
      </c>
      <c r="J86" s="19">
        <f>IF(C86="","",C86-I86)</f>
        <v/>
      </c>
      <c r="K86" s="24">
        <f>IF(C86="","",IF(C86=0,0,J86/C86))</f>
        <v/>
      </c>
      <c r="L86" s="19">
        <f>IF(C86="","",C86-D86)</f>
        <v/>
      </c>
      <c r="M86" s="19">
        <f>IF(C86="","",J86-L86)</f>
        <v/>
      </c>
      <c r="N86" s="27">
        <f>IF(C86="","",IF(J86&lt;0,"LOST MONEY",IF(K86&lt;Settings!$B$6-0.0001,"Below target margin","OK")))</f>
        <v/>
      </c>
    </row>
    <row r="87">
      <c r="A87" s="26" t="n"/>
      <c r="B87" s="12" t="n"/>
      <c r="C87" s="15" t="n"/>
      <c r="D87" s="15" t="n"/>
      <c r="E87" s="14" t="n"/>
      <c r="F87" s="15" t="n"/>
      <c r="G87" s="16" t="n"/>
      <c r="H87" s="15" t="n"/>
      <c r="I87" s="19">
        <f>IF(C87="","",(E87*Settings!$B$4+F87+G87*Settings!$B$7+H87)*(1+Settings!$B$5))</f>
        <v/>
      </c>
      <c r="J87" s="19">
        <f>IF(C87="","",C87-I87)</f>
        <v/>
      </c>
      <c r="K87" s="24">
        <f>IF(C87="","",IF(C87=0,0,J87/C87))</f>
        <v/>
      </c>
      <c r="L87" s="19">
        <f>IF(C87="","",C87-D87)</f>
        <v/>
      </c>
      <c r="M87" s="19">
        <f>IF(C87="","",J87-L87)</f>
        <v/>
      </c>
      <c r="N87" s="27">
        <f>IF(C87="","",IF(J87&lt;0,"LOST MONEY",IF(K87&lt;Settings!$B$6-0.0001,"Below target margin","OK")))</f>
        <v/>
      </c>
    </row>
    <row r="88">
      <c r="A88" s="26" t="n"/>
      <c r="B88" s="12" t="n"/>
      <c r="C88" s="15" t="n"/>
      <c r="D88" s="15" t="n"/>
      <c r="E88" s="14" t="n"/>
      <c r="F88" s="15" t="n"/>
      <c r="G88" s="16" t="n"/>
      <c r="H88" s="15" t="n"/>
      <c r="I88" s="19">
        <f>IF(C88="","",(E88*Settings!$B$4+F88+G88*Settings!$B$7+H88)*(1+Settings!$B$5))</f>
        <v/>
      </c>
      <c r="J88" s="19">
        <f>IF(C88="","",C88-I88)</f>
        <v/>
      </c>
      <c r="K88" s="24">
        <f>IF(C88="","",IF(C88=0,0,J88/C88))</f>
        <v/>
      </c>
      <c r="L88" s="19">
        <f>IF(C88="","",C88-D88)</f>
        <v/>
      </c>
      <c r="M88" s="19">
        <f>IF(C88="","",J88-L88)</f>
        <v/>
      </c>
      <c r="N88" s="27">
        <f>IF(C88="","",IF(J88&lt;0,"LOST MONEY",IF(K88&lt;Settings!$B$6-0.0001,"Below target margin","OK")))</f>
        <v/>
      </c>
    </row>
    <row r="89">
      <c r="A89" s="26" t="n"/>
      <c r="B89" s="12" t="n"/>
      <c r="C89" s="15" t="n"/>
      <c r="D89" s="15" t="n"/>
      <c r="E89" s="14" t="n"/>
      <c r="F89" s="15" t="n"/>
      <c r="G89" s="16" t="n"/>
      <c r="H89" s="15" t="n"/>
      <c r="I89" s="19">
        <f>IF(C89="","",(E89*Settings!$B$4+F89+G89*Settings!$B$7+H89)*(1+Settings!$B$5))</f>
        <v/>
      </c>
      <c r="J89" s="19">
        <f>IF(C89="","",C89-I89)</f>
        <v/>
      </c>
      <c r="K89" s="24">
        <f>IF(C89="","",IF(C89=0,0,J89/C89))</f>
        <v/>
      </c>
      <c r="L89" s="19">
        <f>IF(C89="","",C89-D89)</f>
        <v/>
      </c>
      <c r="M89" s="19">
        <f>IF(C89="","",J89-L89)</f>
        <v/>
      </c>
      <c r="N89" s="27">
        <f>IF(C89="","",IF(J89&lt;0,"LOST MONEY",IF(K89&lt;Settings!$B$6-0.0001,"Below target margin","OK")))</f>
        <v/>
      </c>
    </row>
    <row r="90">
      <c r="A90" s="26" t="n"/>
      <c r="B90" s="12" t="n"/>
      <c r="C90" s="15" t="n"/>
      <c r="D90" s="15" t="n"/>
      <c r="E90" s="14" t="n"/>
      <c r="F90" s="15" t="n"/>
      <c r="G90" s="16" t="n"/>
      <c r="H90" s="15" t="n"/>
      <c r="I90" s="19">
        <f>IF(C90="","",(E90*Settings!$B$4+F90+G90*Settings!$B$7+H90)*(1+Settings!$B$5))</f>
        <v/>
      </c>
      <c r="J90" s="19">
        <f>IF(C90="","",C90-I90)</f>
        <v/>
      </c>
      <c r="K90" s="24">
        <f>IF(C90="","",IF(C90=0,0,J90/C90))</f>
        <v/>
      </c>
      <c r="L90" s="19">
        <f>IF(C90="","",C90-D90)</f>
        <v/>
      </c>
      <c r="M90" s="19">
        <f>IF(C90="","",J90-L90)</f>
        <v/>
      </c>
      <c r="N90" s="27">
        <f>IF(C90="","",IF(J90&lt;0,"LOST MONEY",IF(K90&lt;Settings!$B$6-0.0001,"Below target margin","OK")))</f>
        <v/>
      </c>
    </row>
    <row r="91">
      <c r="A91" s="26" t="n"/>
      <c r="B91" s="12" t="n"/>
      <c r="C91" s="15" t="n"/>
      <c r="D91" s="15" t="n"/>
      <c r="E91" s="14" t="n"/>
      <c r="F91" s="15" t="n"/>
      <c r="G91" s="16" t="n"/>
      <c r="H91" s="15" t="n"/>
      <c r="I91" s="19">
        <f>IF(C91="","",(E91*Settings!$B$4+F91+G91*Settings!$B$7+H91)*(1+Settings!$B$5))</f>
        <v/>
      </c>
      <c r="J91" s="19">
        <f>IF(C91="","",C91-I91)</f>
        <v/>
      </c>
      <c r="K91" s="24">
        <f>IF(C91="","",IF(C91=0,0,J91/C91))</f>
        <v/>
      </c>
      <c r="L91" s="19">
        <f>IF(C91="","",C91-D91)</f>
        <v/>
      </c>
      <c r="M91" s="19">
        <f>IF(C91="","",J91-L91)</f>
        <v/>
      </c>
      <c r="N91" s="27">
        <f>IF(C91="","",IF(J91&lt;0,"LOST MONEY",IF(K91&lt;Settings!$B$6-0.0001,"Below target margin","OK")))</f>
        <v/>
      </c>
    </row>
    <row r="92">
      <c r="A92" s="26" t="n"/>
      <c r="B92" s="12" t="n"/>
      <c r="C92" s="15" t="n"/>
      <c r="D92" s="15" t="n"/>
      <c r="E92" s="14" t="n"/>
      <c r="F92" s="15" t="n"/>
      <c r="G92" s="16" t="n"/>
      <c r="H92" s="15" t="n"/>
      <c r="I92" s="19">
        <f>IF(C92="","",(E92*Settings!$B$4+F92+G92*Settings!$B$7+H92)*(1+Settings!$B$5))</f>
        <v/>
      </c>
      <c r="J92" s="19">
        <f>IF(C92="","",C92-I92)</f>
        <v/>
      </c>
      <c r="K92" s="24">
        <f>IF(C92="","",IF(C92=0,0,J92/C92))</f>
        <v/>
      </c>
      <c r="L92" s="19">
        <f>IF(C92="","",C92-D92)</f>
        <v/>
      </c>
      <c r="M92" s="19">
        <f>IF(C92="","",J92-L92)</f>
        <v/>
      </c>
      <c r="N92" s="27">
        <f>IF(C92="","",IF(J92&lt;0,"LOST MONEY",IF(K92&lt;Settings!$B$6-0.0001,"Below target margin","OK")))</f>
        <v/>
      </c>
    </row>
    <row r="93">
      <c r="A93" s="26" t="n"/>
      <c r="B93" s="12" t="n"/>
      <c r="C93" s="15" t="n"/>
      <c r="D93" s="15" t="n"/>
      <c r="E93" s="14" t="n"/>
      <c r="F93" s="15" t="n"/>
      <c r="G93" s="16" t="n"/>
      <c r="H93" s="15" t="n"/>
      <c r="I93" s="19">
        <f>IF(C93="","",(E93*Settings!$B$4+F93+G93*Settings!$B$7+H93)*(1+Settings!$B$5))</f>
        <v/>
      </c>
      <c r="J93" s="19">
        <f>IF(C93="","",C93-I93)</f>
        <v/>
      </c>
      <c r="K93" s="24">
        <f>IF(C93="","",IF(C93=0,0,J93/C93))</f>
        <v/>
      </c>
      <c r="L93" s="19">
        <f>IF(C93="","",C93-D93)</f>
        <v/>
      </c>
      <c r="M93" s="19">
        <f>IF(C93="","",J93-L93)</f>
        <v/>
      </c>
      <c r="N93" s="27">
        <f>IF(C93="","",IF(J93&lt;0,"LOST MONEY",IF(K93&lt;Settings!$B$6-0.0001,"Below target margin","OK")))</f>
        <v/>
      </c>
    </row>
    <row r="94">
      <c r="A94" s="26" t="n"/>
      <c r="B94" s="12" t="n"/>
      <c r="C94" s="15" t="n"/>
      <c r="D94" s="15" t="n"/>
      <c r="E94" s="14" t="n"/>
      <c r="F94" s="15" t="n"/>
      <c r="G94" s="16" t="n"/>
      <c r="H94" s="15" t="n"/>
      <c r="I94" s="19">
        <f>IF(C94="","",(E94*Settings!$B$4+F94+G94*Settings!$B$7+H94)*(1+Settings!$B$5))</f>
        <v/>
      </c>
      <c r="J94" s="19">
        <f>IF(C94="","",C94-I94)</f>
        <v/>
      </c>
      <c r="K94" s="24">
        <f>IF(C94="","",IF(C94=0,0,J94/C94))</f>
        <v/>
      </c>
      <c r="L94" s="19">
        <f>IF(C94="","",C94-D94)</f>
        <v/>
      </c>
      <c r="M94" s="19">
        <f>IF(C94="","",J94-L94)</f>
        <v/>
      </c>
      <c r="N94" s="27">
        <f>IF(C94="","",IF(J94&lt;0,"LOST MONEY",IF(K94&lt;Settings!$B$6-0.0001,"Below target margin","OK")))</f>
        <v/>
      </c>
    </row>
    <row r="95">
      <c r="A95" s="26" t="n"/>
      <c r="B95" s="12" t="n"/>
      <c r="C95" s="15" t="n"/>
      <c r="D95" s="15" t="n"/>
      <c r="E95" s="14" t="n"/>
      <c r="F95" s="15" t="n"/>
      <c r="G95" s="16" t="n"/>
      <c r="H95" s="15" t="n"/>
      <c r="I95" s="19">
        <f>IF(C95="","",(E95*Settings!$B$4+F95+G95*Settings!$B$7+H95)*(1+Settings!$B$5))</f>
        <v/>
      </c>
      <c r="J95" s="19">
        <f>IF(C95="","",C95-I95)</f>
        <v/>
      </c>
      <c r="K95" s="24">
        <f>IF(C95="","",IF(C95=0,0,J95/C95))</f>
        <v/>
      </c>
      <c r="L95" s="19">
        <f>IF(C95="","",C95-D95)</f>
        <v/>
      </c>
      <c r="M95" s="19">
        <f>IF(C95="","",J95-L95)</f>
        <v/>
      </c>
      <c r="N95" s="27">
        <f>IF(C95="","",IF(J95&lt;0,"LOST MONEY",IF(K95&lt;Settings!$B$6-0.0001,"Below target margin","OK")))</f>
        <v/>
      </c>
    </row>
    <row r="96">
      <c r="A96" s="26" t="n"/>
      <c r="B96" s="12" t="n"/>
      <c r="C96" s="15" t="n"/>
      <c r="D96" s="15" t="n"/>
      <c r="E96" s="14" t="n"/>
      <c r="F96" s="15" t="n"/>
      <c r="G96" s="16" t="n"/>
      <c r="H96" s="15" t="n"/>
      <c r="I96" s="19">
        <f>IF(C96="","",(E96*Settings!$B$4+F96+G96*Settings!$B$7+H96)*(1+Settings!$B$5))</f>
        <v/>
      </c>
      <c r="J96" s="19">
        <f>IF(C96="","",C96-I96)</f>
        <v/>
      </c>
      <c r="K96" s="24">
        <f>IF(C96="","",IF(C96=0,0,J96/C96))</f>
        <v/>
      </c>
      <c r="L96" s="19">
        <f>IF(C96="","",C96-D96)</f>
        <v/>
      </c>
      <c r="M96" s="19">
        <f>IF(C96="","",J96-L96)</f>
        <v/>
      </c>
      <c r="N96" s="27">
        <f>IF(C96="","",IF(J96&lt;0,"LOST MONEY",IF(K96&lt;Settings!$B$6-0.0001,"Below target margin","OK")))</f>
        <v/>
      </c>
    </row>
    <row r="97">
      <c r="A97" s="26" t="n"/>
      <c r="B97" s="12" t="n"/>
      <c r="C97" s="15" t="n"/>
      <c r="D97" s="15" t="n"/>
      <c r="E97" s="14" t="n"/>
      <c r="F97" s="15" t="n"/>
      <c r="G97" s="16" t="n"/>
      <c r="H97" s="15" t="n"/>
      <c r="I97" s="19">
        <f>IF(C97="","",(E97*Settings!$B$4+F97+G97*Settings!$B$7+H97)*(1+Settings!$B$5))</f>
        <v/>
      </c>
      <c r="J97" s="19">
        <f>IF(C97="","",C97-I97)</f>
        <v/>
      </c>
      <c r="K97" s="24">
        <f>IF(C97="","",IF(C97=0,0,J97/C97))</f>
        <v/>
      </c>
      <c r="L97" s="19">
        <f>IF(C97="","",C97-D97)</f>
        <v/>
      </c>
      <c r="M97" s="19">
        <f>IF(C97="","",J97-L97)</f>
        <v/>
      </c>
      <c r="N97" s="27">
        <f>IF(C97="","",IF(J97&lt;0,"LOST MONEY",IF(K97&lt;Settings!$B$6-0.0001,"Below target margin","OK")))</f>
        <v/>
      </c>
    </row>
    <row r="98">
      <c r="A98" s="26" t="n"/>
      <c r="B98" s="12" t="n"/>
      <c r="C98" s="15" t="n"/>
      <c r="D98" s="15" t="n"/>
      <c r="E98" s="14" t="n"/>
      <c r="F98" s="15" t="n"/>
      <c r="G98" s="16" t="n"/>
      <c r="H98" s="15" t="n"/>
      <c r="I98" s="19">
        <f>IF(C98="","",(E98*Settings!$B$4+F98+G98*Settings!$B$7+H98)*(1+Settings!$B$5))</f>
        <v/>
      </c>
      <c r="J98" s="19">
        <f>IF(C98="","",C98-I98)</f>
        <v/>
      </c>
      <c r="K98" s="24">
        <f>IF(C98="","",IF(C98=0,0,J98/C98))</f>
        <v/>
      </c>
      <c r="L98" s="19">
        <f>IF(C98="","",C98-D98)</f>
        <v/>
      </c>
      <c r="M98" s="19">
        <f>IF(C98="","",J98-L98)</f>
        <v/>
      </c>
      <c r="N98" s="27">
        <f>IF(C98="","",IF(J98&lt;0,"LOST MONEY",IF(K98&lt;Settings!$B$6-0.0001,"Below target margin","OK")))</f>
        <v/>
      </c>
    </row>
    <row r="99">
      <c r="A99" s="26" t="n"/>
      <c r="B99" s="12" t="n"/>
      <c r="C99" s="15" t="n"/>
      <c r="D99" s="15" t="n"/>
      <c r="E99" s="14" t="n"/>
      <c r="F99" s="15" t="n"/>
      <c r="G99" s="16" t="n"/>
      <c r="H99" s="15" t="n"/>
      <c r="I99" s="19">
        <f>IF(C99="","",(E99*Settings!$B$4+F99+G99*Settings!$B$7+H99)*(1+Settings!$B$5))</f>
        <v/>
      </c>
      <c r="J99" s="19">
        <f>IF(C99="","",C99-I99)</f>
        <v/>
      </c>
      <c r="K99" s="24">
        <f>IF(C99="","",IF(C99=0,0,J99/C99))</f>
        <v/>
      </c>
      <c r="L99" s="19">
        <f>IF(C99="","",C99-D99)</f>
        <v/>
      </c>
      <c r="M99" s="19">
        <f>IF(C99="","",J99-L99)</f>
        <v/>
      </c>
      <c r="N99" s="27">
        <f>IF(C99="","",IF(J99&lt;0,"LOST MONEY",IF(K99&lt;Settings!$B$6-0.0001,"Below target margin","OK")))</f>
        <v/>
      </c>
    </row>
    <row r="100">
      <c r="A100" s="26" t="n"/>
      <c r="B100" s="12" t="n"/>
      <c r="C100" s="15" t="n"/>
      <c r="D100" s="15" t="n"/>
      <c r="E100" s="14" t="n"/>
      <c r="F100" s="15" t="n"/>
      <c r="G100" s="16" t="n"/>
      <c r="H100" s="15" t="n"/>
      <c r="I100" s="19">
        <f>IF(C100="","",(E100*Settings!$B$4+F100+G100*Settings!$B$7+H100)*(1+Settings!$B$5))</f>
        <v/>
      </c>
      <c r="J100" s="19">
        <f>IF(C100="","",C100-I100)</f>
        <v/>
      </c>
      <c r="K100" s="24">
        <f>IF(C100="","",IF(C100=0,0,J100/C100))</f>
        <v/>
      </c>
      <c r="L100" s="19">
        <f>IF(C100="","",C100-D100)</f>
        <v/>
      </c>
      <c r="M100" s="19">
        <f>IF(C100="","",J100-L100)</f>
        <v/>
      </c>
      <c r="N100" s="27">
        <f>IF(C100="","",IF(J100&lt;0,"LOST MONEY",IF(K100&lt;Settings!$B$6-0.0001,"Below target margin","OK")))</f>
        <v/>
      </c>
    </row>
    <row r="101">
      <c r="A101" s="26" t="n"/>
      <c r="B101" s="12" t="n"/>
      <c r="C101" s="15" t="n"/>
      <c r="D101" s="15" t="n"/>
      <c r="E101" s="14" t="n"/>
      <c r="F101" s="15" t="n"/>
      <c r="G101" s="16" t="n"/>
      <c r="H101" s="15" t="n"/>
      <c r="I101" s="19">
        <f>IF(C101="","",(E101*Settings!$B$4+F101+G101*Settings!$B$7+H101)*(1+Settings!$B$5))</f>
        <v/>
      </c>
      <c r="J101" s="19">
        <f>IF(C101="","",C101-I101)</f>
        <v/>
      </c>
      <c r="K101" s="24">
        <f>IF(C101="","",IF(C101=0,0,J101/C101))</f>
        <v/>
      </c>
      <c r="L101" s="19">
        <f>IF(C101="","",C101-D101)</f>
        <v/>
      </c>
      <c r="M101" s="19">
        <f>IF(C101="","",J101-L101)</f>
        <v/>
      </c>
      <c r="N101" s="27">
        <f>IF(C101="","",IF(J101&lt;0,"LOST MONEY",IF(K101&lt;Settings!$B$6-0.0001,"Below target margin","OK")))</f>
        <v/>
      </c>
    </row>
    <row r="102">
      <c r="A102" s="26" t="n"/>
      <c r="B102" s="12" t="n"/>
      <c r="C102" s="15" t="n"/>
      <c r="D102" s="15" t="n"/>
      <c r="E102" s="14" t="n"/>
      <c r="F102" s="15" t="n"/>
      <c r="G102" s="16" t="n"/>
      <c r="H102" s="15" t="n"/>
      <c r="I102" s="19">
        <f>IF(C102="","",(E102*Settings!$B$4+F102+G102*Settings!$B$7+H102)*(1+Settings!$B$5))</f>
        <v/>
      </c>
      <c r="J102" s="19">
        <f>IF(C102="","",C102-I102)</f>
        <v/>
      </c>
      <c r="K102" s="24">
        <f>IF(C102="","",IF(C102=0,0,J102/C102))</f>
        <v/>
      </c>
      <c r="L102" s="19">
        <f>IF(C102="","",C102-D102)</f>
        <v/>
      </c>
      <c r="M102" s="19">
        <f>IF(C102="","",J102-L102)</f>
        <v/>
      </c>
      <c r="N102" s="27">
        <f>IF(C102="","",IF(J102&lt;0,"LOST MONEY",IF(K102&lt;Settings!$B$6-0.0001,"Below target margin","OK")))</f>
        <v/>
      </c>
    </row>
    <row r="103">
      <c r="A103" s="26" t="n"/>
      <c r="B103" s="12" t="n"/>
      <c r="C103" s="15" t="n"/>
      <c r="D103" s="15" t="n"/>
      <c r="E103" s="14" t="n"/>
      <c r="F103" s="15" t="n"/>
      <c r="G103" s="16" t="n"/>
      <c r="H103" s="15" t="n"/>
      <c r="I103" s="19">
        <f>IF(C103="","",(E103*Settings!$B$4+F103+G103*Settings!$B$7+H103)*(1+Settings!$B$5))</f>
        <v/>
      </c>
      <c r="J103" s="19">
        <f>IF(C103="","",C103-I103)</f>
        <v/>
      </c>
      <c r="K103" s="24">
        <f>IF(C103="","",IF(C103=0,0,J103/C103))</f>
        <v/>
      </c>
      <c r="L103" s="19">
        <f>IF(C103="","",C103-D103)</f>
        <v/>
      </c>
      <c r="M103" s="19">
        <f>IF(C103="","",J103-L103)</f>
        <v/>
      </c>
      <c r="N103" s="27">
        <f>IF(C103="","",IF(J103&lt;0,"LOST MONEY",IF(K103&lt;Settings!$B$6-0.0001,"Below target margin","OK")))</f>
        <v/>
      </c>
    </row>
    <row r="104">
      <c r="A104" s="26" t="n"/>
      <c r="B104" s="12" t="n"/>
      <c r="C104" s="15" t="n"/>
      <c r="D104" s="15" t="n"/>
      <c r="E104" s="14" t="n"/>
      <c r="F104" s="15" t="n"/>
      <c r="G104" s="16" t="n"/>
      <c r="H104" s="15" t="n"/>
      <c r="I104" s="19">
        <f>IF(C104="","",(E104*Settings!$B$4+F104+G104*Settings!$B$7+H104)*(1+Settings!$B$5))</f>
        <v/>
      </c>
      <c r="J104" s="19">
        <f>IF(C104="","",C104-I104)</f>
        <v/>
      </c>
      <c r="K104" s="24">
        <f>IF(C104="","",IF(C104=0,0,J104/C104))</f>
        <v/>
      </c>
      <c r="L104" s="19">
        <f>IF(C104="","",C104-D104)</f>
        <v/>
      </c>
      <c r="M104" s="19">
        <f>IF(C104="","",J104-L104)</f>
        <v/>
      </c>
      <c r="N104" s="27">
        <f>IF(C104="","",IF(J104&lt;0,"LOST MONEY",IF(K104&lt;Settings!$B$6-0.0001,"Below target margin","OK")))</f>
        <v/>
      </c>
    </row>
  </sheetData>
  <conditionalFormatting sqref="N5:N104">
    <cfRule type="expression" priority="1" dxfId="2">
      <formula>N5="LOST MONEY"</formula>
    </cfRule>
    <cfRule type="expression" priority="2" dxfId="1">
      <formula>N5="Below target margin"</formula>
    </cfRule>
    <cfRule type="expression" priority="3" dxfId="0">
      <formula>N5="OK"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Dashboard</t>
        </is>
      </c>
    </row>
    <row r="2">
      <c r="A2" s="2" t="inlineStr">
        <is>
          <t>Updates automatically from the Job Tracker.</t>
        </is>
      </c>
    </row>
    <row r="3">
      <c r="A3" s="5" t="inlineStr">
        <is>
          <t>Measure</t>
        </is>
      </c>
      <c r="B3" s="5" t="inlineStr">
        <is>
          <t>Value</t>
        </is>
      </c>
    </row>
    <row r="4">
      <c r="A4" s="11" t="inlineStr">
        <is>
          <t>Jobs tracked</t>
        </is>
      </c>
      <c r="B4" s="28">
        <f>COUNT('Job Tracker'!$C$5:$C$104)</f>
        <v/>
      </c>
    </row>
    <row r="5">
      <c r="A5" s="11" t="inlineStr">
        <is>
          <t>Total revenue</t>
        </is>
      </c>
      <c r="B5" s="21">
        <f>SUM('Job Tracker'!$C$5:$C$104)</f>
        <v/>
      </c>
    </row>
    <row r="6">
      <c r="A6" s="11" t="inlineStr">
        <is>
          <t>Total actual cost</t>
        </is>
      </c>
      <c r="B6" s="21">
        <f>SUM('Job Tracker'!$I$5:$I$104)</f>
        <v/>
      </c>
    </row>
    <row r="7">
      <c r="A7" s="11" t="inlineStr">
        <is>
          <t>Total actual profit</t>
        </is>
      </c>
      <c r="B7" s="21">
        <f>SUM('Job Tracker'!$J$5:$J$104)</f>
        <v/>
      </c>
    </row>
    <row r="8">
      <c r="A8" s="11" t="inlineStr">
        <is>
          <t>Overall profit margin</t>
        </is>
      </c>
      <c r="B8" s="23">
        <f>IF(B5=0,0,B7/B5)</f>
        <v/>
      </c>
    </row>
    <row r="9">
      <c r="A9" s="11" t="inlineStr">
        <is>
          <t>Average profit per job</t>
        </is>
      </c>
      <c r="B9" s="21">
        <f>IF(B4=0,0,B7/B4)</f>
        <v/>
      </c>
    </row>
    <row r="10">
      <c r="A10" s="11" t="inlineStr">
        <is>
          <t>Profit per labor hour</t>
        </is>
      </c>
      <c r="B10" s="21">
        <f>IF(SUM('Job Tracker'!$E$5:$E$104)=0,0,B7/SUM('Job Tracker'!$E$5:$E$104))</f>
        <v/>
      </c>
    </row>
    <row r="11">
      <c r="A11" s="11" t="inlineStr">
        <is>
          <t>Jobs that lost money</t>
        </is>
      </c>
      <c r="B11" s="28">
        <f>COUNTIF('Job Tracker'!$J$5:$J$104,"&lt;0")</f>
        <v/>
      </c>
    </row>
    <row r="12">
      <c r="A12" s="11" t="inlineStr">
        <is>
          <t>Jobs below target margin</t>
        </is>
      </c>
      <c r="B12" s="28">
        <f>COUNTIF('Job Tracker'!$K$5:$K$104,"&lt;"&amp;Settings!$B$6)</f>
        <v/>
      </c>
    </row>
    <row r="13">
      <c r="A13" s="11" t="inlineStr">
        <is>
          <t>Total profit vs plan</t>
        </is>
      </c>
      <c r="B13" s="21">
        <f>SUM('Job Tracker'!$M$5:$M$104)</f>
        <v/>
      </c>
    </row>
    <row r="16">
      <c r="A16" s="29" t="inlineStr">
        <is>
          <t>How to read it: if 'Profit vs plan' is negative, jobs are taking longer or costing more than you quoted. Raise the hours/price you use for that kind of job.</t>
        </is>
      </c>
    </row>
    <row r="17"/>
    <row r="18"/>
  </sheetData>
  <mergeCells count="1">
    <mergeCell ref="A16:D18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12-Month Tracker</t>
        </is>
      </c>
    </row>
    <row r="2">
      <c r="A2" s="2" t="inlineStr">
        <is>
          <t>Enter the year and a monthly profit goal. Revenue, cost and profit fill in from the Job Tracker.</t>
        </is>
      </c>
    </row>
    <row r="3">
      <c r="A3" s="30" t="inlineStr">
        <is>
          <t>Year</t>
        </is>
      </c>
      <c r="B3" s="13" t="n">
        <v>2026</v>
      </c>
    </row>
    <row r="5">
      <c r="A5" s="5" t="inlineStr">
        <is>
          <t>Month</t>
        </is>
      </c>
      <c r="B5" s="5" t="inlineStr">
        <is>
          <t>Revenue</t>
        </is>
      </c>
      <c r="C5" s="5" t="inlineStr">
        <is>
          <t>Actual cost</t>
        </is>
      </c>
      <c r="D5" s="5" t="inlineStr">
        <is>
          <t>Profit</t>
        </is>
      </c>
      <c r="E5" s="5" t="inlineStr">
        <is>
          <t>Margin</t>
        </is>
      </c>
      <c r="F5" s="5" t="inlineStr">
        <is>
          <t>Profit goal</t>
        </is>
      </c>
      <c r="G5" s="5" t="inlineStr">
        <is>
          <t>Over / under goal</t>
        </is>
      </c>
    </row>
    <row r="6">
      <c r="A6" s="31">
        <f>DATE($B$3,1,1)</f>
        <v/>
      </c>
      <c r="B6" s="19">
        <f>SUMIFS('Job Tracker'!$C$5:$C$104,'Job Tracker'!$A$5:$A$104,"&gt;="&amp;$A6,'Job Tracker'!$A$5:$A$104,"&lt;"&amp;EDATE($A6,1))</f>
        <v/>
      </c>
      <c r="C6" s="19">
        <f>SUMIFS('Job Tracker'!$I$5:$I$104,'Job Tracker'!$A$5:$A$104,"&gt;="&amp;$A6,'Job Tracker'!$A$5:$A$104,"&lt;"&amp;EDATE($A6,1))</f>
        <v/>
      </c>
      <c r="D6" s="19">
        <f>SUMIFS('Job Tracker'!$J$5:$J$104,'Job Tracker'!$A$5:$A$104,"&gt;="&amp;$A6,'Job Tracker'!$A$5:$A$104,"&lt;"&amp;EDATE($A6,1))</f>
        <v/>
      </c>
      <c r="E6" s="24">
        <f>IF(B6=0,0,D6/B6)</f>
        <v/>
      </c>
      <c r="F6" s="15" t="n"/>
      <c r="G6" s="19">
        <f>IF(F6="","",D6-F6)</f>
        <v/>
      </c>
    </row>
    <row r="7">
      <c r="A7" s="31">
        <f>DATE($B$3,2,1)</f>
        <v/>
      </c>
      <c r="B7" s="19">
        <f>SUMIFS('Job Tracker'!$C$5:$C$104,'Job Tracker'!$A$5:$A$104,"&gt;="&amp;$A7,'Job Tracker'!$A$5:$A$104,"&lt;"&amp;EDATE($A7,1))</f>
        <v/>
      </c>
      <c r="C7" s="19">
        <f>SUMIFS('Job Tracker'!$I$5:$I$104,'Job Tracker'!$A$5:$A$104,"&gt;="&amp;$A7,'Job Tracker'!$A$5:$A$104,"&lt;"&amp;EDATE($A7,1))</f>
        <v/>
      </c>
      <c r="D7" s="19">
        <f>SUMIFS('Job Tracker'!$J$5:$J$104,'Job Tracker'!$A$5:$A$104,"&gt;="&amp;$A7,'Job Tracker'!$A$5:$A$104,"&lt;"&amp;EDATE($A7,1))</f>
        <v/>
      </c>
      <c r="E7" s="24">
        <f>IF(B7=0,0,D7/B7)</f>
        <v/>
      </c>
      <c r="F7" s="15" t="n"/>
      <c r="G7" s="19">
        <f>IF(F7="","",D7-F7)</f>
        <v/>
      </c>
    </row>
    <row r="8">
      <c r="A8" s="31">
        <f>DATE($B$3,3,1)</f>
        <v/>
      </c>
      <c r="B8" s="19">
        <f>SUMIFS('Job Tracker'!$C$5:$C$104,'Job Tracker'!$A$5:$A$104,"&gt;="&amp;$A8,'Job Tracker'!$A$5:$A$104,"&lt;"&amp;EDATE($A8,1))</f>
        <v/>
      </c>
      <c r="C8" s="19">
        <f>SUMIFS('Job Tracker'!$I$5:$I$104,'Job Tracker'!$A$5:$A$104,"&gt;="&amp;$A8,'Job Tracker'!$A$5:$A$104,"&lt;"&amp;EDATE($A8,1))</f>
        <v/>
      </c>
      <c r="D8" s="19">
        <f>SUMIFS('Job Tracker'!$J$5:$J$104,'Job Tracker'!$A$5:$A$104,"&gt;="&amp;$A8,'Job Tracker'!$A$5:$A$104,"&lt;"&amp;EDATE($A8,1))</f>
        <v/>
      </c>
      <c r="E8" s="24">
        <f>IF(B8=0,0,D8/B8)</f>
        <v/>
      </c>
      <c r="F8" s="15" t="n"/>
      <c r="G8" s="19">
        <f>IF(F8="","",D8-F8)</f>
        <v/>
      </c>
    </row>
    <row r="9">
      <c r="A9" s="31">
        <f>DATE($B$3,4,1)</f>
        <v/>
      </c>
      <c r="B9" s="19">
        <f>SUMIFS('Job Tracker'!$C$5:$C$104,'Job Tracker'!$A$5:$A$104,"&gt;="&amp;$A9,'Job Tracker'!$A$5:$A$104,"&lt;"&amp;EDATE($A9,1))</f>
        <v/>
      </c>
      <c r="C9" s="19">
        <f>SUMIFS('Job Tracker'!$I$5:$I$104,'Job Tracker'!$A$5:$A$104,"&gt;="&amp;$A9,'Job Tracker'!$A$5:$A$104,"&lt;"&amp;EDATE($A9,1))</f>
        <v/>
      </c>
      <c r="D9" s="19">
        <f>SUMIFS('Job Tracker'!$J$5:$J$104,'Job Tracker'!$A$5:$A$104,"&gt;="&amp;$A9,'Job Tracker'!$A$5:$A$104,"&lt;"&amp;EDATE($A9,1))</f>
        <v/>
      </c>
      <c r="E9" s="24">
        <f>IF(B9=0,0,D9/B9)</f>
        <v/>
      </c>
      <c r="F9" s="15" t="n"/>
      <c r="G9" s="19">
        <f>IF(F9="","",D9-F9)</f>
        <v/>
      </c>
    </row>
    <row r="10">
      <c r="A10" s="31">
        <f>DATE($B$3,5,1)</f>
        <v/>
      </c>
      <c r="B10" s="19">
        <f>SUMIFS('Job Tracker'!$C$5:$C$104,'Job Tracker'!$A$5:$A$104,"&gt;="&amp;$A10,'Job Tracker'!$A$5:$A$104,"&lt;"&amp;EDATE($A10,1))</f>
        <v/>
      </c>
      <c r="C10" s="19">
        <f>SUMIFS('Job Tracker'!$I$5:$I$104,'Job Tracker'!$A$5:$A$104,"&gt;="&amp;$A10,'Job Tracker'!$A$5:$A$104,"&lt;"&amp;EDATE($A10,1))</f>
        <v/>
      </c>
      <c r="D10" s="19">
        <f>SUMIFS('Job Tracker'!$J$5:$J$104,'Job Tracker'!$A$5:$A$104,"&gt;="&amp;$A10,'Job Tracker'!$A$5:$A$104,"&lt;"&amp;EDATE($A10,1))</f>
        <v/>
      </c>
      <c r="E10" s="24">
        <f>IF(B10=0,0,D10/B10)</f>
        <v/>
      </c>
      <c r="F10" s="15" t="n"/>
      <c r="G10" s="19">
        <f>IF(F10="","",D10-F10)</f>
        <v/>
      </c>
    </row>
    <row r="11">
      <c r="A11" s="31">
        <f>DATE($B$3,6,1)</f>
        <v/>
      </c>
      <c r="B11" s="19">
        <f>SUMIFS('Job Tracker'!$C$5:$C$104,'Job Tracker'!$A$5:$A$104,"&gt;="&amp;$A11,'Job Tracker'!$A$5:$A$104,"&lt;"&amp;EDATE($A11,1))</f>
        <v/>
      </c>
      <c r="C11" s="19">
        <f>SUMIFS('Job Tracker'!$I$5:$I$104,'Job Tracker'!$A$5:$A$104,"&gt;="&amp;$A11,'Job Tracker'!$A$5:$A$104,"&lt;"&amp;EDATE($A11,1))</f>
        <v/>
      </c>
      <c r="D11" s="19">
        <f>SUMIFS('Job Tracker'!$J$5:$J$104,'Job Tracker'!$A$5:$A$104,"&gt;="&amp;$A11,'Job Tracker'!$A$5:$A$104,"&lt;"&amp;EDATE($A11,1))</f>
        <v/>
      </c>
      <c r="E11" s="24">
        <f>IF(B11=0,0,D11/B11)</f>
        <v/>
      </c>
      <c r="F11" s="15" t="n"/>
      <c r="G11" s="19">
        <f>IF(F11="","",D11-F11)</f>
        <v/>
      </c>
    </row>
    <row r="12">
      <c r="A12" s="31">
        <f>DATE($B$3,7,1)</f>
        <v/>
      </c>
      <c r="B12" s="19">
        <f>SUMIFS('Job Tracker'!$C$5:$C$104,'Job Tracker'!$A$5:$A$104,"&gt;="&amp;$A12,'Job Tracker'!$A$5:$A$104,"&lt;"&amp;EDATE($A12,1))</f>
        <v/>
      </c>
      <c r="C12" s="19">
        <f>SUMIFS('Job Tracker'!$I$5:$I$104,'Job Tracker'!$A$5:$A$104,"&gt;="&amp;$A12,'Job Tracker'!$A$5:$A$104,"&lt;"&amp;EDATE($A12,1))</f>
        <v/>
      </c>
      <c r="D12" s="19">
        <f>SUMIFS('Job Tracker'!$J$5:$J$104,'Job Tracker'!$A$5:$A$104,"&gt;="&amp;$A12,'Job Tracker'!$A$5:$A$104,"&lt;"&amp;EDATE($A12,1))</f>
        <v/>
      </c>
      <c r="E12" s="24">
        <f>IF(B12=0,0,D12/B12)</f>
        <v/>
      </c>
      <c r="F12" s="15" t="n"/>
      <c r="G12" s="19">
        <f>IF(F12="","",D12-F12)</f>
        <v/>
      </c>
    </row>
    <row r="13">
      <c r="A13" s="31">
        <f>DATE($B$3,8,1)</f>
        <v/>
      </c>
      <c r="B13" s="19">
        <f>SUMIFS('Job Tracker'!$C$5:$C$104,'Job Tracker'!$A$5:$A$104,"&gt;="&amp;$A13,'Job Tracker'!$A$5:$A$104,"&lt;"&amp;EDATE($A13,1))</f>
        <v/>
      </c>
      <c r="C13" s="19">
        <f>SUMIFS('Job Tracker'!$I$5:$I$104,'Job Tracker'!$A$5:$A$104,"&gt;="&amp;$A13,'Job Tracker'!$A$5:$A$104,"&lt;"&amp;EDATE($A13,1))</f>
        <v/>
      </c>
      <c r="D13" s="19">
        <f>SUMIFS('Job Tracker'!$J$5:$J$104,'Job Tracker'!$A$5:$A$104,"&gt;="&amp;$A13,'Job Tracker'!$A$5:$A$104,"&lt;"&amp;EDATE($A13,1))</f>
        <v/>
      </c>
      <c r="E13" s="24">
        <f>IF(B13=0,0,D13/B13)</f>
        <v/>
      </c>
      <c r="F13" s="15" t="n"/>
      <c r="G13" s="19">
        <f>IF(F13="","",D13-F13)</f>
        <v/>
      </c>
    </row>
    <row r="14">
      <c r="A14" s="31">
        <f>DATE($B$3,9,1)</f>
        <v/>
      </c>
      <c r="B14" s="19">
        <f>SUMIFS('Job Tracker'!$C$5:$C$104,'Job Tracker'!$A$5:$A$104,"&gt;="&amp;$A14,'Job Tracker'!$A$5:$A$104,"&lt;"&amp;EDATE($A14,1))</f>
        <v/>
      </c>
      <c r="C14" s="19">
        <f>SUMIFS('Job Tracker'!$I$5:$I$104,'Job Tracker'!$A$5:$A$104,"&gt;="&amp;$A14,'Job Tracker'!$A$5:$A$104,"&lt;"&amp;EDATE($A14,1))</f>
        <v/>
      </c>
      <c r="D14" s="19">
        <f>SUMIFS('Job Tracker'!$J$5:$J$104,'Job Tracker'!$A$5:$A$104,"&gt;="&amp;$A14,'Job Tracker'!$A$5:$A$104,"&lt;"&amp;EDATE($A14,1))</f>
        <v/>
      </c>
      <c r="E14" s="24">
        <f>IF(B14=0,0,D14/B14)</f>
        <v/>
      </c>
      <c r="F14" s="15" t="n"/>
      <c r="G14" s="19">
        <f>IF(F14="","",D14-F14)</f>
        <v/>
      </c>
    </row>
    <row r="15">
      <c r="A15" s="31">
        <f>DATE($B$3,10,1)</f>
        <v/>
      </c>
      <c r="B15" s="19">
        <f>SUMIFS('Job Tracker'!$C$5:$C$104,'Job Tracker'!$A$5:$A$104,"&gt;="&amp;$A15,'Job Tracker'!$A$5:$A$104,"&lt;"&amp;EDATE($A15,1))</f>
        <v/>
      </c>
      <c r="C15" s="19">
        <f>SUMIFS('Job Tracker'!$I$5:$I$104,'Job Tracker'!$A$5:$A$104,"&gt;="&amp;$A15,'Job Tracker'!$A$5:$A$104,"&lt;"&amp;EDATE($A15,1))</f>
        <v/>
      </c>
      <c r="D15" s="19">
        <f>SUMIFS('Job Tracker'!$J$5:$J$104,'Job Tracker'!$A$5:$A$104,"&gt;="&amp;$A15,'Job Tracker'!$A$5:$A$104,"&lt;"&amp;EDATE($A15,1))</f>
        <v/>
      </c>
      <c r="E15" s="24">
        <f>IF(B15=0,0,D15/B15)</f>
        <v/>
      </c>
      <c r="F15" s="15" t="n"/>
      <c r="G15" s="19">
        <f>IF(F15="","",D15-F15)</f>
        <v/>
      </c>
    </row>
    <row r="16">
      <c r="A16" s="31">
        <f>DATE($B$3,11,1)</f>
        <v/>
      </c>
      <c r="B16" s="19">
        <f>SUMIFS('Job Tracker'!$C$5:$C$104,'Job Tracker'!$A$5:$A$104,"&gt;="&amp;$A16,'Job Tracker'!$A$5:$A$104,"&lt;"&amp;EDATE($A16,1))</f>
        <v/>
      </c>
      <c r="C16" s="19">
        <f>SUMIFS('Job Tracker'!$I$5:$I$104,'Job Tracker'!$A$5:$A$104,"&gt;="&amp;$A16,'Job Tracker'!$A$5:$A$104,"&lt;"&amp;EDATE($A16,1))</f>
        <v/>
      </c>
      <c r="D16" s="19">
        <f>SUMIFS('Job Tracker'!$J$5:$J$104,'Job Tracker'!$A$5:$A$104,"&gt;="&amp;$A16,'Job Tracker'!$A$5:$A$104,"&lt;"&amp;EDATE($A16,1))</f>
        <v/>
      </c>
      <c r="E16" s="24">
        <f>IF(B16=0,0,D16/B16)</f>
        <v/>
      </c>
      <c r="F16" s="15" t="n"/>
      <c r="G16" s="19">
        <f>IF(F16="","",D16-F16)</f>
        <v/>
      </c>
    </row>
    <row r="17">
      <c r="A17" s="31">
        <f>DATE($B$3,12,1)</f>
        <v/>
      </c>
      <c r="B17" s="19">
        <f>SUMIFS('Job Tracker'!$C$5:$C$104,'Job Tracker'!$A$5:$A$104,"&gt;="&amp;$A17,'Job Tracker'!$A$5:$A$104,"&lt;"&amp;EDATE($A17,1))</f>
        <v/>
      </c>
      <c r="C17" s="19">
        <f>SUMIFS('Job Tracker'!$I$5:$I$104,'Job Tracker'!$A$5:$A$104,"&gt;="&amp;$A17,'Job Tracker'!$A$5:$A$104,"&lt;"&amp;EDATE($A17,1))</f>
        <v/>
      </c>
      <c r="D17" s="19">
        <f>SUMIFS('Job Tracker'!$J$5:$J$104,'Job Tracker'!$A$5:$A$104,"&gt;="&amp;$A17,'Job Tracker'!$A$5:$A$104,"&lt;"&amp;EDATE($A17,1))</f>
        <v/>
      </c>
      <c r="E17" s="24">
        <f>IF(B17=0,0,D17/B17)</f>
        <v/>
      </c>
      <c r="F17" s="15" t="n"/>
      <c r="G17" s="19">
        <f>IF(F17="","",D17-F17)</f>
        <v/>
      </c>
    </row>
    <row r="18">
      <c r="A18" s="30" t="inlineStr">
        <is>
          <t>YEAR TOTAL</t>
        </is>
      </c>
      <c r="B18" s="21">
        <f>SUM(B6:B17)</f>
        <v/>
      </c>
      <c r="C18" s="21">
        <f>SUM(C6:C17)</f>
        <v/>
      </c>
      <c r="D18" s="21">
        <f>SUM(D6:D17)</f>
        <v/>
      </c>
      <c r="E18" s="23">
        <f>IF(B18=0,0,D18/B18)</f>
        <v/>
      </c>
      <c r="F18" s="21">
        <f>SUM(F6:F17)</f>
        <v/>
      </c>
      <c r="G18" s="21">
        <f>D18-F18</f>
        <v/>
      </c>
    </row>
  </sheetData>
  <conditionalFormatting sqref="G6:G18">
    <cfRule type="cellIs" priority="1" operator="lessThan" dxfId="2">
      <formula>0</formula>
    </cfRule>
    <cfRule type="cellIs" priority="2" operator="greaterThanOrEqual" dxfId="0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26" customWidth="1" min="3" max="3"/>
    <col width="28" customWidth="1" min="4" max="4"/>
    <col width="20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2" customWidth="1" min="11" max="11"/>
    <col width="40" customWidth="1" min="12" max="12"/>
  </cols>
  <sheetData>
    <row r="1">
      <c r="A1" s="1" t="inlineStr">
        <is>
          <t>Client Tracker</t>
        </is>
      </c>
    </row>
    <row r="2">
      <c r="A2" s="2" t="inlineStr">
        <is>
          <t>One row per client. Sort or filter by any column.</t>
        </is>
      </c>
    </row>
    <row r="4">
      <c r="A4" s="5" t="inlineStr">
        <is>
          <t>Client name</t>
        </is>
      </c>
      <c r="B4" s="5" t="inlineStr">
        <is>
          <t>Phone</t>
        </is>
      </c>
      <c r="C4" s="5" t="inlineStr">
        <is>
          <t>Email</t>
        </is>
      </c>
      <c r="D4" s="5" t="inlineStr">
        <is>
          <t>Address / area</t>
        </is>
      </c>
      <c r="E4" s="5" t="inlineStr">
        <is>
          <t>Service type</t>
        </is>
      </c>
      <c r="F4" s="5" t="inlineStr">
        <is>
          <t>Frequency</t>
        </is>
      </c>
      <c r="G4" s="5" t="inlineStr">
        <is>
          <t>Price per visit</t>
        </is>
      </c>
      <c r="H4" s="5" t="inlineStr">
        <is>
          <t>Start date</t>
        </is>
      </c>
      <c r="I4" s="5" t="inlineStr">
        <is>
          <t>Last service</t>
        </is>
      </c>
      <c r="J4" s="5" t="inlineStr">
        <is>
          <t>Next follow-up</t>
        </is>
      </c>
      <c r="K4" s="5" t="inlineStr">
        <is>
          <t>Status</t>
        </is>
      </c>
      <c r="L4" s="5" t="inlineStr">
        <is>
          <t>Notes</t>
        </is>
      </c>
    </row>
    <row r="5">
      <c r="A5" s="12" t="n"/>
      <c r="B5" s="12" t="n"/>
      <c r="C5" s="12" t="n"/>
      <c r="D5" s="12" t="n"/>
      <c r="E5" s="12" t="n"/>
      <c r="F5" s="12" t="n"/>
      <c r="G5" s="15" t="n"/>
      <c r="H5" s="26" t="n"/>
      <c r="I5" s="26" t="n"/>
      <c r="J5" s="26" t="n"/>
      <c r="K5" s="12" t="n"/>
      <c r="L5" s="12" t="n"/>
    </row>
    <row r="6">
      <c r="A6" s="12" t="n"/>
      <c r="B6" s="12" t="n"/>
      <c r="C6" s="12" t="n"/>
      <c r="D6" s="12" t="n"/>
      <c r="E6" s="12" t="n"/>
      <c r="F6" s="12" t="n"/>
      <c r="G6" s="15" t="n"/>
      <c r="H6" s="26" t="n"/>
      <c r="I6" s="26" t="n"/>
      <c r="J6" s="26" t="n"/>
      <c r="K6" s="12" t="n"/>
      <c r="L6" s="12" t="n"/>
    </row>
    <row r="7">
      <c r="A7" s="12" t="n"/>
      <c r="B7" s="12" t="n"/>
      <c r="C7" s="12" t="n"/>
      <c r="D7" s="12" t="n"/>
      <c r="E7" s="12" t="n"/>
      <c r="F7" s="12" t="n"/>
      <c r="G7" s="15" t="n"/>
      <c r="H7" s="26" t="n"/>
      <c r="I7" s="26" t="n"/>
      <c r="J7" s="26" t="n"/>
      <c r="K7" s="12" t="n"/>
      <c r="L7" s="12" t="n"/>
    </row>
    <row r="8">
      <c r="A8" s="12" t="n"/>
      <c r="B8" s="12" t="n"/>
      <c r="C8" s="12" t="n"/>
      <c r="D8" s="12" t="n"/>
      <c r="E8" s="12" t="n"/>
      <c r="F8" s="12" t="n"/>
      <c r="G8" s="15" t="n"/>
      <c r="H8" s="26" t="n"/>
      <c r="I8" s="26" t="n"/>
      <c r="J8" s="26" t="n"/>
      <c r="K8" s="12" t="n"/>
      <c r="L8" s="12" t="n"/>
    </row>
    <row r="9">
      <c r="A9" s="12" t="n"/>
      <c r="B9" s="12" t="n"/>
      <c r="C9" s="12" t="n"/>
      <c r="D9" s="12" t="n"/>
      <c r="E9" s="12" t="n"/>
      <c r="F9" s="12" t="n"/>
      <c r="G9" s="15" t="n"/>
      <c r="H9" s="26" t="n"/>
      <c r="I9" s="26" t="n"/>
      <c r="J9" s="26" t="n"/>
      <c r="K9" s="12" t="n"/>
      <c r="L9" s="12" t="n"/>
    </row>
    <row r="10">
      <c r="A10" s="12" t="n"/>
      <c r="B10" s="12" t="n"/>
      <c r="C10" s="12" t="n"/>
      <c r="D10" s="12" t="n"/>
      <c r="E10" s="12" t="n"/>
      <c r="F10" s="12" t="n"/>
      <c r="G10" s="15" t="n"/>
      <c r="H10" s="26" t="n"/>
      <c r="I10" s="26" t="n"/>
      <c r="J10" s="26" t="n"/>
      <c r="K10" s="12" t="n"/>
      <c r="L10" s="12" t="n"/>
    </row>
    <row r="11">
      <c r="A11" s="12" t="n"/>
      <c r="B11" s="12" t="n"/>
      <c r="C11" s="12" t="n"/>
      <c r="D11" s="12" t="n"/>
      <c r="E11" s="12" t="n"/>
      <c r="F11" s="12" t="n"/>
      <c r="G11" s="15" t="n"/>
      <c r="H11" s="26" t="n"/>
      <c r="I11" s="26" t="n"/>
      <c r="J11" s="26" t="n"/>
      <c r="K11" s="12" t="n"/>
      <c r="L11" s="12" t="n"/>
    </row>
    <row r="12">
      <c r="A12" s="12" t="n"/>
      <c r="B12" s="12" t="n"/>
      <c r="C12" s="12" t="n"/>
      <c r="D12" s="12" t="n"/>
      <c r="E12" s="12" t="n"/>
      <c r="F12" s="12" t="n"/>
      <c r="G12" s="15" t="n"/>
      <c r="H12" s="26" t="n"/>
      <c r="I12" s="26" t="n"/>
      <c r="J12" s="26" t="n"/>
      <c r="K12" s="12" t="n"/>
      <c r="L12" s="12" t="n"/>
    </row>
    <row r="13">
      <c r="A13" s="12" t="n"/>
      <c r="B13" s="12" t="n"/>
      <c r="C13" s="12" t="n"/>
      <c r="D13" s="12" t="n"/>
      <c r="E13" s="12" t="n"/>
      <c r="F13" s="12" t="n"/>
      <c r="G13" s="15" t="n"/>
      <c r="H13" s="26" t="n"/>
      <c r="I13" s="26" t="n"/>
      <c r="J13" s="26" t="n"/>
      <c r="K13" s="12" t="n"/>
      <c r="L13" s="12" t="n"/>
    </row>
    <row r="14">
      <c r="A14" s="12" t="n"/>
      <c r="B14" s="12" t="n"/>
      <c r="C14" s="12" t="n"/>
      <c r="D14" s="12" t="n"/>
      <c r="E14" s="12" t="n"/>
      <c r="F14" s="12" t="n"/>
      <c r="G14" s="15" t="n"/>
      <c r="H14" s="26" t="n"/>
      <c r="I14" s="26" t="n"/>
      <c r="J14" s="26" t="n"/>
      <c r="K14" s="12" t="n"/>
      <c r="L14" s="12" t="n"/>
    </row>
    <row r="15">
      <c r="A15" s="12" t="n"/>
      <c r="B15" s="12" t="n"/>
      <c r="C15" s="12" t="n"/>
      <c r="D15" s="12" t="n"/>
      <c r="E15" s="12" t="n"/>
      <c r="F15" s="12" t="n"/>
      <c r="G15" s="15" t="n"/>
      <c r="H15" s="26" t="n"/>
      <c r="I15" s="26" t="n"/>
      <c r="J15" s="26" t="n"/>
      <c r="K15" s="12" t="n"/>
      <c r="L15" s="12" t="n"/>
    </row>
    <row r="16">
      <c r="A16" s="12" t="n"/>
      <c r="B16" s="12" t="n"/>
      <c r="C16" s="12" t="n"/>
      <c r="D16" s="12" t="n"/>
      <c r="E16" s="12" t="n"/>
      <c r="F16" s="12" t="n"/>
      <c r="G16" s="15" t="n"/>
      <c r="H16" s="26" t="n"/>
      <c r="I16" s="26" t="n"/>
      <c r="J16" s="26" t="n"/>
      <c r="K16" s="12" t="n"/>
      <c r="L16" s="12" t="n"/>
    </row>
    <row r="17">
      <c r="A17" s="12" t="n"/>
      <c r="B17" s="12" t="n"/>
      <c r="C17" s="12" t="n"/>
      <c r="D17" s="12" t="n"/>
      <c r="E17" s="12" t="n"/>
      <c r="F17" s="12" t="n"/>
      <c r="G17" s="15" t="n"/>
      <c r="H17" s="26" t="n"/>
      <c r="I17" s="26" t="n"/>
      <c r="J17" s="26" t="n"/>
      <c r="K17" s="12" t="n"/>
      <c r="L17" s="12" t="n"/>
    </row>
    <row r="18">
      <c r="A18" s="12" t="n"/>
      <c r="B18" s="12" t="n"/>
      <c r="C18" s="12" t="n"/>
      <c r="D18" s="12" t="n"/>
      <c r="E18" s="12" t="n"/>
      <c r="F18" s="12" t="n"/>
      <c r="G18" s="15" t="n"/>
      <c r="H18" s="26" t="n"/>
      <c r="I18" s="26" t="n"/>
      <c r="J18" s="26" t="n"/>
      <c r="K18" s="12" t="n"/>
      <c r="L18" s="12" t="n"/>
    </row>
    <row r="19">
      <c r="A19" s="12" t="n"/>
      <c r="B19" s="12" t="n"/>
      <c r="C19" s="12" t="n"/>
      <c r="D19" s="12" t="n"/>
      <c r="E19" s="12" t="n"/>
      <c r="F19" s="12" t="n"/>
      <c r="G19" s="15" t="n"/>
      <c r="H19" s="26" t="n"/>
      <c r="I19" s="26" t="n"/>
      <c r="J19" s="26" t="n"/>
      <c r="K19" s="12" t="n"/>
      <c r="L19" s="12" t="n"/>
    </row>
    <row r="20">
      <c r="A20" s="12" t="n"/>
      <c r="B20" s="12" t="n"/>
      <c r="C20" s="12" t="n"/>
      <c r="D20" s="12" t="n"/>
      <c r="E20" s="12" t="n"/>
      <c r="F20" s="12" t="n"/>
      <c r="G20" s="15" t="n"/>
      <c r="H20" s="26" t="n"/>
      <c r="I20" s="26" t="n"/>
      <c r="J20" s="26" t="n"/>
      <c r="K20" s="12" t="n"/>
      <c r="L20" s="12" t="n"/>
    </row>
    <row r="21">
      <c r="A21" s="12" t="n"/>
      <c r="B21" s="12" t="n"/>
      <c r="C21" s="12" t="n"/>
      <c r="D21" s="12" t="n"/>
      <c r="E21" s="12" t="n"/>
      <c r="F21" s="12" t="n"/>
      <c r="G21" s="15" t="n"/>
      <c r="H21" s="26" t="n"/>
      <c r="I21" s="26" t="n"/>
      <c r="J21" s="26" t="n"/>
      <c r="K21" s="12" t="n"/>
      <c r="L21" s="12" t="n"/>
    </row>
    <row r="22">
      <c r="A22" s="12" t="n"/>
      <c r="B22" s="12" t="n"/>
      <c r="C22" s="12" t="n"/>
      <c r="D22" s="12" t="n"/>
      <c r="E22" s="12" t="n"/>
      <c r="F22" s="12" t="n"/>
      <c r="G22" s="15" t="n"/>
      <c r="H22" s="26" t="n"/>
      <c r="I22" s="26" t="n"/>
      <c r="J22" s="26" t="n"/>
      <c r="K22" s="12" t="n"/>
      <c r="L22" s="12" t="n"/>
    </row>
    <row r="23">
      <c r="A23" s="12" t="n"/>
      <c r="B23" s="12" t="n"/>
      <c r="C23" s="12" t="n"/>
      <c r="D23" s="12" t="n"/>
      <c r="E23" s="12" t="n"/>
      <c r="F23" s="12" t="n"/>
      <c r="G23" s="15" t="n"/>
      <c r="H23" s="26" t="n"/>
      <c r="I23" s="26" t="n"/>
      <c r="J23" s="26" t="n"/>
      <c r="K23" s="12" t="n"/>
      <c r="L23" s="12" t="n"/>
    </row>
    <row r="24">
      <c r="A24" s="12" t="n"/>
      <c r="B24" s="12" t="n"/>
      <c r="C24" s="12" t="n"/>
      <c r="D24" s="12" t="n"/>
      <c r="E24" s="12" t="n"/>
      <c r="F24" s="12" t="n"/>
      <c r="G24" s="15" t="n"/>
      <c r="H24" s="26" t="n"/>
      <c r="I24" s="26" t="n"/>
      <c r="J24" s="26" t="n"/>
      <c r="K24" s="12" t="n"/>
      <c r="L24" s="12" t="n"/>
    </row>
    <row r="25">
      <c r="A25" s="12" t="n"/>
      <c r="B25" s="12" t="n"/>
      <c r="C25" s="12" t="n"/>
      <c r="D25" s="12" t="n"/>
      <c r="E25" s="12" t="n"/>
      <c r="F25" s="12" t="n"/>
      <c r="G25" s="15" t="n"/>
      <c r="H25" s="26" t="n"/>
      <c r="I25" s="26" t="n"/>
      <c r="J25" s="26" t="n"/>
      <c r="K25" s="12" t="n"/>
      <c r="L25" s="12" t="n"/>
    </row>
    <row r="26">
      <c r="A26" s="12" t="n"/>
      <c r="B26" s="12" t="n"/>
      <c r="C26" s="12" t="n"/>
      <c r="D26" s="12" t="n"/>
      <c r="E26" s="12" t="n"/>
      <c r="F26" s="12" t="n"/>
      <c r="G26" s="15" t="n"/>
      <c r="H26" s="26" t="n"/>
      <c r="I26" s="26" t="n"/>
      <c r="J26" s="26" t="n"/>
      <c r="K26" s="12" t="n"/>
      <c r="L26" s="12" t="n"/>
    </row>
    <row r="27">
      <c r="A27" s="12" t="n"/>
      <c r="B27" s="12" t="n"/>
      <c r="C27" s="12" t="n"/>
      <c r="D27" s="12" t="n"/>
      <c r="E27" s="12" t="n"/>
      <c r="F27" s="12" t="n"/>
      <c r="G27" s="15" t="n"/>
      <c r="H27" s="26" t="n"/>
      <c r="I27" s="26" t="n"/>
      <c r="J27" s="26" t="n"/>
      <c r="K27" s="12" t="n"/>
      <c r="L27" s="12" t="n"/>
    </row>
    <row r="28">
      <c r="A28" s="12" t="n"/>
      <c r="B28" s="12" t="n"/>
      <c r="C28" s="12" t="n"/>
      <c r="D28" s="12" t="n"/>
      <c r="E28" s="12" t="n"/>
      <c r="F28" s="12" t="n"/>
      <c r="G28" s="15" t="n"/>
      <c r="H28" s="26" t="n"/>
      <c r="I28" s="26" t="n"/>
      <c r="J28" s="26" t="n"/>
      <c r="K28" s="12" t="n"/>
      <c r="L28" s="12" t="n"/>
    </row>
    <row r="29">
      <c r="A29" s="12" t="n"/>
      <c r="B29" s="12" t="n"/>
      <c r="C29" s="12" t="n"/>
      <c r="D29" s="12" t="n"/>
      <c r="E29" s="12" t="n"/>
      <c r="F29" s="12" t="n"/>
      <c r="G29" s="15" t="n"/>
      <c r="H29" s="26" t="n"/>
      <c r="I29" s="26" t="n"/>
      <c r="J29" s="26" t="n"/>
      <c r="K29" s="12" t="n"/>
      <c r="L29" s="12" t="n"/>
    </row>
    <row r="30">
      <c r="A30" s="12" t="n"/>
      <c r="B30" s="12" t="n"/>
      <c r="C30" s="12" t="n"/>
      <c r="D30" s="12" t="n"/>
      <c r="E30" s="12" t="n"/>
      <c r="F30" s="12" t="n"/>
      <c r="G30" s="15" t="n"/>
      <c r="H30" s="26" t="n"/>
      <c r="I30" s="26" t="n"/>
      <c r="J30" s="26" t="n"/>
      <c r="K30" s="12" t="n"/>
      <c r="L30" s="12" t="n"/>
    </row>
    <row r="31">
      <c r="A31" s="12" t="n"/>
      <c r="B31" s="12" t="n"/>
      <c r="C31" s="12" t="n"/>
      <c r="D31" s="12" t="n"/>
      <c r="E31" s="12" t="n"/>
      <c r="F31" s="12" t="n"/>
      <c r="G31" s="15" t="n"/>
      <c r="H31" s="26" t="n"/>
      <c r="I31" s="26" t="n"/>
      <c r="J31" s="26" t="n"/>
      <c r="K31" s="12" t="n"/>
      <c r="L31" s="12" t="n"/>
    </row>
    <row r="32">
      <c r="A32" s="12" t="n"/>
      <c r="B32" s="12" t="n"/>
      <c r="C32" s="12" t="n"/>
      <c r="D32" s="12" t="n"/>
      <c r="E32" s="12" t="n"/>
      <c r="F32" s="12" t="n"/>
      <c r="G32" s="15" t="n"/>
      <c r="H32" s="26" t="n"/>
      <c r="I32" s="26" t="n"/>
      <c r="J32" s="26" t="n"/>
      <c r="K32" s="12" t="n"/>
      <c r="L32" s="12" t="n"/>
    </row>
    <row r="33">
      <c r="A33" s="12" t="n"/>
      <c r="B33" s="12" t="n"/>
      <c r="C33" s="12" t="n"/>
      <c r="D33" s="12" t="n"/>
      <c r="E33" s="12" t="n"/>
      <c r="F33" s="12" t="n"/>
      <c r="G33" s="15" t="n"/>
      <c r="H33" s="26" t="n"/>
      <c r="I33" s="26" t="n"/>
      <c r="J33" s="26" t="n"/>
      <c r="K33" s="12" t="n"/>
      <c r="L33" s="12" t="n"/>
    </row>
    <row r="34">
      <c r="A34" s="12" t="n"/>
      <c r="B34" s="12" t="n"/>
      <c r="C34" s="12" t="n"/>
      <c r="D34" s="12" t="n"/>
      <c r="E34" s="12" t="n"/>
      <c r="F34" s="12" t="n"/>
      <c r="G34" s="15" t="n"/>
      <c r="H34" s="26" t="n"/>
      <c r="I34" s="26" t="n"/>
      <c r="J34" s="26" t="n"/>
      <c r="K34" s="12" t="n"/>
      <c r="L34" s="12" t="n"/>
    </row>
    <row r="35">
      <c r="A35" s="12" t="n"/>
      <c r="B35" s="12" t="n"/>
      <c r="C35" s="12" t="n"/>
      <c r="D35" s="12" t="n"/>
      <c r="E35" s="12" t="n"/>
      <c r="F35" s="12" t="n"/>
      <c r="G35" s="15" t="n"/>
      <c r="H35" s="26" t="n"/>
      <c r="I35" s="26" t="n"/>
      <c r="J35" s="26" t="n"/>
      <c r="K35" s="12" t="n"/>
      <c r="L35" s="12" t="n"/>
    </row>
    <row r="36">
      <c r="A36" s="12" t="n"/>
      <c r="B36" s="12" t="n"/>
      <c r="C36" s="12" t="n"/>
      <c r="D36" s="12" t="n"/>
      <c r="E36" s="12" t="n"/>
      <c r="F36" s="12" t="n"/>
      <c r="G36" s="15" t="n"/>
      <c r="H36" s="26" t="n"/>
      <c r="I36" s="26" t="n"/>
      <c r="J36" s="26" t="n"/>
      <c r="K36" s="12" t="n"/>
      <c r="L36" s="12" t="n"/>
    </row>
    <row r="37">
      <c r="A37" s="12" t="n"/>
      <c r="B37" s="12" t="n"/>
      <c r="C37" s="12" t="n"/>
      <c r="D37" s="12" t="n"/>
      <c r="E37" s="12" t="n"/>
      <c r="F37" s="12" t="n"/>
      <c r="G37" s="15" t="n"/>
      <c r="H37" s="26" t="n"/>
      <c r="I37" s="26" t="n"/>
      <c r="J37" s="26" t="n"/>
      <c r="K37" s="12" t="n"/>
      <c r="L37" s="12" t="n"/>
    </row>
    <row r="38">
      <c r="A38" s="12" t="n"/>
      <c r="B38" s="12" t="n"/>
      <c r="C38" s="12" t="n"/>
      <c r="D38" s="12" t="n"/>
      <c r="E38" s="12" t="n"/>
      <c r="F38" s="12" t="n"/>
      <c r="G38" s="15" t="n"/>
      <c r="H38" s="26" t="n"/>
      <c r="I38" s="26" t="n"/>
      <c r="J38" s="26" t="n"/>
      <c r="K38" s="12" t="n"/>
      <c r="L38" s="12" t="n"/>
    </row>
    <row r="39">
      <c r="A39" s="12" t="n"/>
      <c r="B39" s="12" t="n"/>
      <c r="C39" s="12" t="n"/>
      <c r="D39" s="12" t="n"/>
      <c r="E39" s="12" t="n"/>
      <c r="F39" s="12" t="n"/>
      <c r="G39" s="15" t="n"/>
      <c r="H39" s="26" t="n"/>
      <c r="I39" s="26" t="n"/>
      <c r="J39" s="26" t="n"/>
      <c r="K39" s="12" t="n"/>
      <c r="L39" s="12" t="n"/>
    </row>
    <row r="40">
      <c r="A40" s="12" t="n"/>
      <c r="B40" s="12" t="n"/>
      <c r="C40" s="12" t="n"/>
      <c r="D40" s="12" t="n"/>
      <c r="E40" s="12" t="n"/>
      <c r="F40" s="12" t="n"/>
      <c r="G40" s="15" t="n"/>
      <c r="H40" s="26" t="n"/>
      <c r="I40" s="26" t="n"/>
      <c r="J40" s="26" t="n"/>
      <c r="K40" s="12" t="n"/>
      <c r="L40" s="12" t="n"/>
    </row>
    <row r="41">
      <c r="A41" s="12" t="n"/>
      <c r="B41" s="12" t="n"/>
      <c r="C41" s="12" t="n"/>
      <c r="D41" s="12" t="n"/>
      <c r="E41" s="12" t="n"/>
      <c r="F41" s="12" t="n"/>
      <c r="G41" s="15" t="n"/>
      <c r="H41" s="26" t="n"/>
      <c r="I41" s="26" t="n"/>
      <c r="J41" s="26" t="n"/>
      <c r="K41" s="12" t="n"/>
      <c r="L41" s="12" t="n"/>
    </row>
    <row r="42">
      <c r="A42" s="12" t="n"/>
      <c r="B42" s="12" t="n"/>
      <c r="C42" s="12" t="n"/>
      <c r="D42" s="12" t="n"/>
      <c r="E42" s="12" t="n"/>
      <c r="F42" s="12" t="n"/>
      <c r="G42" s="15" t="n"/>
      <c r="H42" s="26" t="n"/>
      <c r="I42" s="26" t="n"/>
      <c r="J42" s="26" t="n"/>
      <c r="K42" s="12" t="n"/>
      <c r="L42" s="12" t="n"/>
    </row>
    <row r="43">
      <c r="A43" s="12" t="n"/>
      <c r="B43" s="12" t="n"/>
      <c r="C43" s="12" t="n"/>
      <c r="D43" s="12" t="n"/>
      <c r="E43" s="12" t="n"/>
      <c r="F43" s="12" t="n"/>
      <c r="G43" s="15" t="n"/>
      <c r="H43" s="26" t="n"/>
      <c r="I43" s="26" t="n"/>
      <c r="J43" s="26" t="n"/>
      <c r="K43" s="12" t="n"/>
      <c r="L43" s="12" t="n"/>
    </row>
    <row r="44">
      <c r="A44" s="12" t="n"/>
      <c r="B44" s="12" t="n"/>
      <c r="C44" s="12" t="n"/>
      <c r="D44" s="12" t="n"/>
      <c r="E44" s="12" t="n"/>
      <c r="F44" s="12" t="n"/>
      <c r="G44" s="15" t="n"/>
      <c r="H44" s="26" t="n"/>
      <c r="I44" s="26" t="n"/>
      <c r="J44" s="26" t="n"/>
      <c r="K44" s="12" t="n"/>
      <c r="L44" s="12" t="n"/>
    </row>
    <row r="45">
      <c r="A45" s="12" t="n"/>
      <c r="B45" s="12" t="n"/>
      <c r="C45" s="12" t="n"/>
      <c r="D45" s="12" t="n"/>
      <c r="E45" s="12" t="n"/>
      <c r="F45" s="12" t="n"/>
      <c r="G45" s="15" t="n"/>
      <c r="H45" s="26" t="n"/>
      <c r="I45" s="26" t="n"/>
      <c r="J45" s="26" t="n"/>
      <c r="K45" s="12" t="n"/>
      <c r="L45" s="12" t="n"/>
    </row>
    <row r="46">
      <c r="A46" s="12" t="n"/>
      <c r="B46" s="12" t="n"/>
      <c r="C46" s="12" t="n"/>
      <c r="D46" s="12" t="n"/>
      <c r="E46" s="12" t="n"/>
      <c r="F46" s="12" t="n"/>
      <c r="G46" s="15" t="n"/>
      <c r="H46" s="26" t="n"/>
      <c r="I46" s="26" t="n"/>
      <c r="J46" s="26" t="n"/>
      <c r="K46" s="12" t="n"/>
      <c r="L46" s="12" t="n"/>
    </row>
    <row r="47">
      <c r="A47" s="12" t="n"/>
      <c r="B47" s="12" t="n"/>
      <c r="C47" s="12" t="n"/>
      <c r="D47" s="12" t="n"/>
      <c r="E47" s="12" t="n"/>
      <c r="F47" s="12" t="n"/>
      <c r="G47" s="15" t="n"/>
      <c r="H47" s="26" t="n"/>
      <c r="I47" s="26" t="n"/>
      <c r="J47" s="26" t="n"/>
      <c r="K47" s="12" t="n"/>
      <c r="L47" s="12" t="n"/>
    </row>
    <row r="48">
      <c r="A48" s="12" t="n"/>
      <c r="B48" s="12" t="n"/>
      <c r="C48" s="12" t="n"/>
      <c r="D48" s="12" t="n"/>
      <c r="E48" s="12" t="n"/>
      <c r="F48" s="12" t="n"/>
      <c r="G48" s="15" t="n"/>
      <c r="H48" s="26" t="n"/>
      <c r="I48" s="26" t="n"/>
      <c r="J48" s="26" t="n"/>
      <c r="K48" s="12" t="n"/>
      <c r="L48" s="12" t="n"/>
    </row>
    <row r="49">
      <c r="A49" s="12" t="n"/>
      <c r="B49" s="12" t="n"/>
      <c r="C49" s="12" t="n"/>
      <c r="D49" s="12" t="n"/>
      <c r="E49" s="12" t="n"/>
      <c r="F49" s="12" t="n"/>
      <c r="G49" s="15" t="n"/>
      <c r="H49" s="26" t="n"/>
      <c r="I49" s="26" t="n"/>
      <c r="J49" s="26" t="n"/>
      <c r="K49" s="12" t="n"/>
      <c r="L49" s="12" t="n"/>
    </row>
    <row r="50">
      <c r="A50" s="12" t="n"/>
      <c r="B50" s="12" t="n"/>
      <c r="C50" s="12" t="n"/>
      <c r="D50" s="12" t="n"/>
      <c r="E50" s="12" t="n"/>
      <c r="F50" s="12" t="n"/>
      <c r="G50" s="15" t="n"/>
      <c r="H50" s="26" t="n"/>
      <c r="I50" s="26" t="n"/>
      <c r="J50" s="26" t="n"/>
      <c r="K50" s="12" t="n"/>
      <c r="L50" s="12" t="n"/>
    </row>
    <row r="51">
      <c r="A51" s="12" t="n"/>
      <c r="B51" s="12" t="n"/>
      <c r="C51" s="12" t="n"/>
      <c r="D51" s="12" t="n"/>
      <c r="E51" s="12" t="n"/>
      <c r="F51" s="12" t="n"/>
      <c r="G51" s="15" t="n"/>
      <c r="H51" s="26" t="n"/>
      <c r="I51" s="26" t="n"/>
      <c r="J51" s="26" t="n"/>
      <c r="K51" s="12" t="n"/>
      <c r="L51" s="12" t="n"/>
    </row>
    <row r="52">
      <c r="A52" s="12" t="n"/>
      <c r="B52" s="12" t="n"/>
      <c r="C52" s="12" t="n"/>
      <c r="D52" s="12" t="n"/>
      <c r="E52" s="12" t="n"/>
      <c r="F52" s="12" t="n"/>
      <c r="G52" s="15" t="n"/>
      <c r="H52" s="26" t="n"/>
      <c r="I52" s="26" t="n"/>
      <c r="J52" s="26" t="n"/>
      <c r="K52" s="12" t="n"/>
      <c r="L52" s="12" t="n"/>
    </row>
    <row r="53">
      <c r="A53" s="12" t="n"/>
      <c r="B53" s="12" t="n"/>
      <c r="C53" s="12" t="n"/>
      <c r="D53" s="12" t="n"/>
      <c r="E53" s="12" t="n"/>
      <c r="F53" s="12" t="n"/>
      <c r="G53" s="15" t="n"/>
      <c r="H53" s="26" t="n"/>
      <c r="I53" s="26" t="n"/>
      <c r="J53" s="26" t="n"/>
      <c r="K53" s="12" t="n"/>
      <c r="L53" s="12" t="n"/>
    </row>
    <row r="54">
      <c r="A54" s="12" t="n"/>
      <c r="B54" s="12" t="n"/>
      <c r="C54" s="12" t="n"/>
      <c r="D54" s="12" t="n"/>
      <c r="E54" s="12" t="n"/>
      <c r="F54" s="12" t="n"/>
      <c r="G54" s="15" t="n"/>
      <c r="H54" s="26" t="n"/>
      <c r="I54" s="26" t="n"/>
      <c r="J54" s="26" t="n"/>
      <c r="K54" s="12" t="n"/>
      <c r="L54" s="12" t="n"/>
    </row>
    <row r="55">
      <c r="A55" s="12" t="n"/>
      <c r="B55" s="12" t="n"/>
      <c r="C55" s="12" t="n"/>
      <c r="D55" s="12" t="n"/>
      <c r="E55" s="12" t="n"/>
      <c r="F55" s="12" t="n"/>
      <c r="G55" s="15" t="n"/>
      <c r="H55" s="26" t="n"/>
      <c r="I55" s="26" t="n"/>
      <c r="J55" s="26" t="n"/>
      <c r="K55" s="12" t="n"/>
      <c r="L55" s="12" t="n"/>
    </row>
    <row r="56">
      <c r="A56" s="12" t="n"/>
      <c r="B56" s="12" t="n"/>
      <c r="C56" s="12" t="n"/>
      <c r="D56" s="12" t="n"/>
      <c r="E56" s="12" t="n"/>
      <c r="F56" s="12" t="n"/>
      <c r="G56" s="15" t="n"/>
      <c r="H56" s="26" t="n"/>
      <c r="I56" s="26" t="n"/>
      <c r="J56" s="26" t="n"/>
      <c r="K56" s="12" t="n"/>
      <c r="L56" s="12" t="n"/>
    </row>
    <row r="57">
      <c r="A57" s="12" t="n"/>
      <c r="B57" s="12" t="n"/>
      <c r="C57" s="12" t="n"/>
      <c r="D57" s="12" t="n"/>
      <c r="E57" s="12" t="n"/>
      <c r="F57" s="12" t="n"/>
      <c r="G57" s="15" t="n"/>
      <c r="H57" s="26" t="n"/>
      <c r="I57" s="26" t="n"/>
      <c r="J57" s="26" t="n"/>
      <c r="K57" s="12" t="n"/>
      <c r="L57" s="12" t="n"/>
    </row>
    <row r="58">
      <c r="A58" s="12" t="n"/>
      <c r="B58" s="12" t="n"/>
      <c r="C58" s="12" t="n"/>
      <c r="D58" s="12" t="n"/>
      <c r="E58" s="12" t="n"/>
      <c r="F58" s="12" t="n"/>
      <c r="G58" s="15" t="n"/>
      <c r="H58" s="26" t="n"/>
      <c r="I58" s="26" t="n"/>
      <c r="J58" s="26" t="n"/>
      <c r="K58" s="12" t="n"/>
      <c r="L58" s="12" t="n"/>
    </row>
    <row r="59">
      <c r="A59" s="12" t="n"/>
      <c r="B59" s="12" t="n"/>
      <c r="C59" s="12" t="n"/>
      <c r="D59" s="12" t="n"/>
      <c r="E59" s="12" t="n"/>
      <c r="F59" s="12" t="n"/>
      <c r="G59" s="15" t="n"/>
      <c r="H59" s="26" t="n"/>
      <c r="I59" s="26" t="n"/>
      <c r="J59" s="26" t="n"/>
      <c r="K59" s="12" t="n"/>
      <c r="L59" s="12" t="n"/>
    </row>
    <row r="60">
      <c r="A60" s="12" t="n"/>
      <c r="B60" s="12" t="n"/>
      <c r="C60" s="12" t="n"/>
      <c r="D60" s="12" t="n"/>
      <c r="E60" s="12" t="n"/>
      <c r="F60" s="12" t="n"/>
      <c r="G60" s="15" t="n"/>
      <c r="H60" s="26" t="n"/>
      <c r="I60" s="26" t="n"/>
      <c r="J60" s="26" t="n"/>
      <c r="K60" s="12" t="n"/>
      <c r="L60" s="12" t="n"/>
    </row>
    <row r="61">
      <c r="A61" s="12" t="n"/>
      <c r="B61" s="12" t="n"/>
      <c r="C61" s="12" t="n"/>
      <c r="D61" s="12" t="n"/>
      <c r="E61" s="12" t="n"/>
      <c r="F61" s="12" t="n"/>
      <c r="G61" s="15" t="n"/>
      <c r="H61" s="26" t="n"/>
      <c r="I61" s="26" t="n"/>
      <c r="J61" s="26" t="n"/>
      <c r="K61" s="12" t="n"/>
      <c r="L61" s="12" t="n"/>
    </row>
    <row r="62">
      <c r="A62" s="12" t="n"/>
      <c r="B62" s="12" t="n"/>
      <c r="C62" s="12" t="n"/>
      <c r="D62" s="12" t="n"/>
      <c r="E62" s="12" t="n"/>
      <c r="F62" s="12" t="n"/>
      <c r="G62" s="15" t="n"/>
      <c r="H62" s="26" t="n"/>
      <c r="I62" s="26" t="n"/>
      <c r="J62" s="26" t="n"/>
      <c r="K62" s="12" t="n"/>
      <c r="L62" s="12" t="n"/>
    </row>
    <row r="63">
      <c r="A63" s="12" t="n"/>
      <c r="B63" s="12" t="n"/>
      <c r="C63" s="12" t="n"/>
      <c r="D63" s="12" t="n"/>
      <c r="E63" s="12" t="n"/>
      <c r="F63" s="12" t="n"/>
      <c r="G63" s="15" t="n"/>
      <c r="H63" s="26" t="n"/>
      <c r="I63" s="26" t="n"/>
      <c r="J63" s="26" t="n"/>
      <c r="K63" s="12" t="n"/>
      <c r="L63" s="12" t="n"/>
    </row>
    <row r="64">
      <c r="A64" s="12" t="n"/>
      <c r="B64" s="12" t="n"/>
      <c r="C64" s="12" t="n"/>
      <c r="D64" s="12" t="n"/>
      <c r="E64" s="12" t="n"/>
      <c r="F64" s="12" t="n"/>
      <c r="G64" s="15" t="n"/>
      <c r="H64" s="26" t="n"/>
      <c r="I64" s="26" t="n"/>
      <c r="J64" s="26" t="n"/>
      <c r="K64" s="12" t="n"/>
      <c r="L64" s="12" t="n"/>
    </row>
    <row r="65">
      <c r="A65" s="12" t="n"/>
      <c r="B65" s="12" t="n"/>
      <c r="C65" s="12" t="n"/>
      <c r="D65" s="12" t="n"/>
      <c r="E65" s="12" t="n"/>
      <c r="F65" s="12" t="n"/>
      <c r="G65" s="15" t="n"/>
      <c r="H65" s="26" t="n"/>
      <c r="I65" s="26" t="n"/>
      <c r="J65" s="26" t="n"/>
      <c r="K65" s="12" t="n"/>
      <c r="L65" s="12" t="n"/>
    </row>
    <row r="66">
      <c r="A66" s="12" t="n"/>
      <c r="B66" s="12" t="n"/>
      <c r="C66" s="12" t="n"/>
      <c r="D66" s="12" t="n"/>
      <c r="E66" s="12" t="n"/>
      <c r="F66" s="12" t="n"/>
      <c r="G66" s="15" t="n"/>
      <c r="H66" s="26" t="n"/>
      <c r="I66" s="26" t="n"/>
      <c r="J66" s="26" t="n"/>
      <c r="K66" s="12" t="n"/>
      <c r="L66" s="12" t="n"/>
    </row>
    <row r="67">
      <c r="A67" s="12" t="n"/>
      <c r="B67" s="12" t="n"/>
      <c r="C67" s="12" t="n"/>
      <c r="D67" s="12" t="n"/>
      <c r="E67" s="12" t="n"/>
      <c r="F67" s="12" t="n"/>
      <c r="G67" s="15" t="n"/>
      <c r="H67" s="26" t="n"/>
      <c r="I67" s="26" t="n"/>
      <c r="J67" s="26" t="n"/>
      <c r="K67" s="12" t="n"/>
      <c r="L67" s="12" t="n"/>
    </row>
    <row r="68">
      <c r="A68" s="12" t="n"/>
      <c r="B68" s="12" t="n"/>
      <c r="C68" s="12" t="n"/>
      <c r="D68" s="12" t="n"/>
      <c r="E68" s="12" t="n"/>
      <c r="F68" s="12" t="n"/>
      <c r="G68" s="15" t="n"/>
      <c r="H68" s="26" t="n"/>
      <c r="I68" s="26" t="n"/>
      <c r="J68" s="26" t="n"/>
      <c r="K68" s="12" t="n"/>
      <c r="L68" s="12" t="n"/>
    </row>
    <row r="69">
      <c r="A69" s="12" t="n"/>
      <c r="B69" s="12" t="n"/>
      <c r="C69" s="12" t="n"/>
      <c r="D69" s="12" t="n"/>
      <c r="E69" s="12" t="n"/>
      <c r="F69" s="12" t="n"/>
      <c r="G69" s="15" t="n"/>
      <c r="H69" s="26" t="n"/>
      <c r="I69" s="26" t="n"/>
      <c r="J69" s="26" t="n"/>
      <c r="K69" s="12" t="n"/>
      <c r="L69" s="12" t="n"/>
    </row>
    <row r="70">
      <c r="A70" s="12" t="n"/>
      <c r="B70" s="12" t="n"/>
      <c r="C70" s="12" t="n"/>
      <c r="D70" s="12" t="n"/>
      <c r="E70" s="12" t="n"/>
      <c r="F70" s="12" t="n"/>
      <c r="G70" s="15" t="n"/>
      <c r="H70" s="26" t="n"/>
      <c r="I70" s="26" t="n"/>
      <c r="J70" s="26" t="n"/>
      <c r="K70" s="12" t="n"/>
      <c r="L70" s="12" t="n"/>
    </row>
    <row r="71">
      <c r="A71" s="12" t="n"/>
      <c r="B71" s="12" t="n"/>
      <c r="C71" s="12" t="n"/>
      <c r="D71" s="12" t="n"/>
      <c r="E71" s="12" t="n"/>
      <c r="F71" s="12" t="n"/>
      <c r="G71" s="15" t="n"/>
      <c r="H71" s="26" t="n"/>
      <c r="I71" s="26" t="n"/>
      <c r="J71" s="26" t="n"/>
      <c r="K71" s="12" t="n"/>
      <c r="L71" s="12" t="n"/>
    </row>
    <row r="72">
      <c r="A72" s="12" t="n"/>
      <c r="B72" s="12" t="n"/>
      <c r="C72" s="12" t="n"/>
      <c r="D72" s="12" t="n"/>
      <c r="E72" s="12" t="n"/>
      <c r="F72" s="12" t="n"/>
      <c r="G72" s="15" t="n"/>
      <c r="H72" s="26" t="n"/>
      <c r="I72" s="26" t="n"/>
      <c r="J72" s="26" t="n"/>
      <c r="K72" s="12" t="n"/>
      <c r="L72" s="12" t="n"/>
    </row>
    <row r="73">
      <c r="A73" s="12" t="n"/>
      <c r="B73" s="12" t="n"/>
      <c r="C73" s="12" t="n"/>
      <c r="D73" s="12" t="n"/>
      <c r="E73" s="12" t="n"/>
      <c r="F73" s="12" t="n"/>
      <c r="G73" s="15" t="n"/>
      <c r="H73" s="26" t="n"/>
      <c r="I73" s="26" t="n"/>
      <c r="J73" s="26" t="n"/>
      <c r="K73" s="12" t="n"/>
      <c r="L73" s="12" t="n"/>
    </row>
    <row r="74">
      <c r="A74" s="12" t="n"/>
      <c r="B74" s="12" t="n"/>
      <c r="C74" s="12" t="n"/>
      <c r="D74" s="12" t="n"/>
      <c r="E74" s="12" t="n"/>
      <c r="F74" s="12" t="n"/>
      <c r="G74" s="15" t="n"/>
      <c r="H74" s="26" t="n"/>
      <c r="I74" s="26" t="n"/>
      <c r="J74" s="26" t="n"/>
      <c r="K74" s="12" t="n"/>
      <c r="L74" s="12" t="n"/>
    </row>
    <row r="75">
      <c r="A75" s="12" t="n"/>
      <c r="B75" s="12" t="n"/>
      <c r="C75" s="12" t="n"/>
      <c r="D75" s="12" t="n"/>
      <c r="E75" s="12" t="n"/>
      <c r="F75" s="12" t="n"/>
      <c r="G75" s="15" t="n"/>
      <c r="H75" s="26" t="n"/>
      <c r="I75" s="26" t="n"/>
      <c r="J75" s="26" t="n"/>
      <c r="K75" s="12" t="n"/>
      <c r="L75" s="12" t="n"/>
    </row>
    <row r="76">
      <c r="A76" s="12" t="n"/>
      <c r="B76" s="12" t="n"/>
      <c r="C76" s="12" t="n"/>
      <c r="D76" s="12" t="n"/>
      <c r="E76" s="12" t="n"/>
      <c r="F76" s="12" t="n"/>
      <c r="G76" s="15" t="n"/>
      <c r="H76" s="26" t="n"/>
      <c r="I76" s="26" t="n"/>
      <c r="J76" s="26" t="n"/>
      <c r="K76" s="12" t="n"/>
      <c r="L76" s="12" t="n"/>
    </row>
    <row r="77">
      <c r="A77" s="12" t="n"/>
      <c r="B77" s="12" t="n"/>
      <c r="C77" s="12" t="n"/>
      <c r="D77" s="12" t="n"/>
      <c r="E77" s="12" t="n"/>
      <c r="F77" s="12" t="n"/>
      <c r="G77" s="15" t="n"/>
      <c r="H77" s="26" t="n"/>
      <c r="I77" s="26" t="n"/>
      <c r="J77" s="26" t="n"/>
      <c r="K77" s="12" t="n"/>
      <c r="L77" s="12" t="n"/>
    </row>
    <row r="78">
      <c r="A78" s="12" t="n"/>
      <c r="B78" s="12" t="n"/>
      <c r="C78" s="12" t="n"/>
      <c r="D78" s="12" t="n"/>
      <c r="E78" s="12" t="n"/>
      <c r="F78" s="12" t="n"/>
      <c r="G78" s="15" t="n"/>
      <c r="H78" s="26" t="n"/>
      <c r="I78" s="26" t="n"/>
      <c r="J78" s="26" t="n"/>
      <c r="K78" s="12" t="n"/>
      <c r="L78" s="12" t="n"/>
    </row>
    <row r="79">
      <c r="A79" s="12" t="n"/>
      <c r="B79" s="12" t="n"/>
      <c r="C79" s="12" t="n"/>
      <c r="D79" s="12" t="n"/>
      <c r="E79" s="12" t="n"/>
      <c r="F79" s="12" t="n"/>
      <c r="G79" s="15" t="n"/>
      <c r="H79" s="26" t="n"/>
      <c r="I79" s="26" t="n"/>
      <c r="J79" s="26" t="n"/>
      <c r="K79" s="12" t="n"/>
      <c r="L79" s="12" t="n"/>
    </row>
    <row r="80">
      <c r="A80" s="12" t="n"/>
      <c r="B80" s="12" t="n"/>
      <c r="C80" s="12" t="n"/>
      <c r="D80" s="12" t="n"/>
      <c r="E80" s="12" t="n"/>
      <c r="F80" s="12" t="n"/>
      <c r="G80" s="15" t="n"/>
      <c r="H80" s="26" t="n"/>
      <c r="I80" s="26" t="n"/>
      <c r="J80" s="26" t="n"/>
      <c r="K80" s="12" t="n"/>
      <c r="L80" s="12" t="n"/>
    </row>
    <row r="81">
      <c r="A81" s="12" t="n"/>
      <c r="B81" s="12" t="n"/>
      <c r="C81" s="12" t="n"/>
      <c r="D81" s="12" t="n"/>
      <c r="E81" s="12" t="n"/>
      <c r="F81" s="12" t="n"/>
      <c r="G81" s="15" t="n"/>
      <c r="H81" s="26" t="n"/>
      <c r="I81" s="26" t="n"/>
      <c r="J81" s="26" t="n"/>
      <c r="K81" s="12" t="n"/>
      <c r="L81" s="12" t="n"/>
    </row>
    <row r="82">
      <c r="A82" s="12" t="n"/>
      <c r="B82" s="12" t="n"/>
      <c r="C82" s="12" t="n"/>
      <c r="D82" s="12" t="n"/>
      <c r="E82" s="12" t="n"/>
      <c r="F82" s="12" t="n"/>
      <c r="G82" s="15" t="n"/>
      <c r="H82" s="26" t="n"/>
      <c r="I82" s="26" t="n"/>
      <c r="J82" s="26" t="n"/>
      <c r="K82" s="12" t="n"/>
      <c r="L82" s="12" t="n"/>
    </row>
    <row r="83">
      <c r="A83" s="12" t="n"/>
      <c r="B83" s="12" t="n"/>
      <c r="C83" s="12" t="n"/>
      <c r="D83" s="12" t="n"/>
      <c r="E83" s="12" t="n"/>
      <c r="F83" s="12" t="n"/>
      <c r="G83" s="15" t="n"/>
      <c r="H83" s="26" t="n"/>
      <c r="I83" s="26" t="n"/>
      <c r="J83" s="26" t="n"/>
      <c r="K83" s="12" t="n"/>
      <c r="L83" s="12" t="n"/>
    </row>
    <row r="84">
      <c r="A84" s="12" t="n"/>
      <c r="B84" s="12" t="n"/>
      <c r="C84" s="12" t="n"/>
      <c r="D84" s="12" t="n"/>
      <c r="E84" s="12" t="n"/>
      <c r="F84" s="12" t="n"/>
      <c r="G84" s="15" t="n"/>
      <c r="H84" s="26" t="n"/>
      <c r="I84" s="26" t="n"/>
      <c r="J84" s="26" t="n"/>
      <c r="K84" s="12" t="n"/>
      <c r="L84" s="12" t="n"/>
    </row>
    <row r="85">
      <c r="A85" s="12" t="n"/>
      <c r="B85" s="12" t="n"/>
      <c r="C85" s="12" t="n"/>
      <c r="D85" s="12" t="n"/>
      <c r="E85" s="12" t="n"/>
      <c r="F85" s="12" t="n"/>
      <c r="G85" s="15" t="n"/>
      <c r="H85" s="26" t="n"/>
      <c r="I85" s="26" t="n"/>
      <c r="J85" s="26" t="n"/>
      <c r="K85" s="12" t="n"/>
      <c r="L85" s="12" t="n"/>
    </row>
    <row r="86">
      <c r="A86" s="12" t="n"/>
      <c r="B86" s="12" t="n"/>
      <c r="C86" s="12" t="n"/>
      <c r="D86" s="12" t="n"/>
      <c r="E86" s="12" t="n"/>
      <c r="F86" s="12" t="n"/>
      <c r="G86" s="15" t="n"/>
      <c r="H86" s="26" t="n"/>
      <c r="I86" s="26" t="n"/>
      <c r="J86" s="26" t="n"/>
      <c r="K86" s="12" t="n"/>
      <c r="L86" s="12" t="n"/>
    </row>
    <row r="87">
      <c r="A87" s="12" t="n"/>
      <c r="B87" s="12" t="n"/>
      <c r="C87" s="12" t="n"/>
      <c r="D87" s="12" t="n"/>
      <c r="E87" s="12" t="n"/>
      <c r="F87" s="12" t="n"/>
      <c r="G87" s="15" t="n"/>
      <c r="H87" s="26" t="n"/>
      <c r="I87" s="26" t="n"/>
      <c r="J87" s="26" t="n"/>
      <c r="K87" s="12" t="n"/>
      <c r="L87" s="12" t="n"/>
    </row>
    <row r="88">
      <c r="A88" s="12" t="n"/>
      <c r="B88" s="12" t="n"/>
      <c r="C88" s="12" t="n"/>
      <c r="D88" s="12" t="n"/>
      <c r="E88" s="12" t="n"/>
      <c r="F88" s="12" t="n"/>
      <c r="G88" s="15" t="n"/>
      <c r="H88" s="26" t="n"/>
      <c r="I88" s="26" t="n"/>
      <c r="J88" s="26" t="n"/>
      <c r="K88" s="12" t="n"/>
      <c r="L88" s="12" t="n"/>
    </row>
    <row r="89">
      <c r="A89" s="12" t="n"/>
      <c r="B89" s="12" t="n"/>
      <c r="C89" s="12" t="n"/>
      <c r="D89" s="12" t="n"/>
      <c r="E89" s="12" t="n"/>
      <c r="F89" s="12" t="n"/>
      <c r="G89" s="15" t="n"/>
      <c r="H89" s="26" t="n"/>
      <c r="I89" s="26" t="n"/>
      <c r="J89" s="26" t="n"/>
      <c r="K89" s="12" t="n"/>
      <c r="L89" s="12" t="n"/>
    </row>
    <row r="90">
      <c r="A90" s="12" t="n"/>
      <c r="B90" s="12" t="n"/>
      <c r="C90" s="12" t="n"/>
      <c r="D90" s="12" t="n"/>
      <c r="E90" s="12" t="n"/>
      <c r="F90" s="12" t="n"/>
      <c r="G90" s="15" t="n"/>
      <c r="H90" s="26" t="n"/>
      <c r="I90" s="26" t="n"/>
      <c r="J90" s="26" t="n"/>
      <c r="K90" s="12" t="n"/>
      <c r="L90" s="12" t="n"/>
    </row>
    <row r="91">
      <c r="A91" s="12" t="n"/>
      <c r="B91" s="12" t="n"/>
      <c r="C91" s="12" t="n"/>
      <c r="D91" s="12" t="n"/>
      <c r="E91" s="12" t="n"/>
      <c r="F91" s="12" t="n"/>
      <c r="G91" s="15" t="n"/>
      <c r="H91" s="26" t="n"/>
      <c r="I91" s="26" t="n"/>
      <c r="J91" s="26" t="n"/>
      <c r="K91" s="12" t="n"/>
      <c r="L91" s="12" t="n"/>
    </row>
    <row r="92">
      <c r="A92" s="12" t="n"/>
      <c r="B92" s="12" t="n"/>
      <c r="C92" s="12" t="n"/>
      <c r="D92" s="12" t="n"/>
      <c r="E92" s="12" t="n"/>
      <c r="F92" s="12" t="n"/>
      <c r="G92" s="15" t="n"/>
      <c r="H92" s="26" t="n"/>
      <c r="I92" s="26" t="n"/>
      <c r="J92" s="26" t="n"/>
      <c r="K92" s="12" t="n"/>
      <c r="L92" s="12" t="n"/>
    </row>
    <row r="93">
      <c r="A93" s="12" t="n"/>
      <c r="B93" s="12" t="n"/>
      <c r="C93" s="12" t="n"/>
      <c r="D93" s="12" t="n"/>
      <c r="E93" s="12" t="n"/>
      <c r="F93" s="12" t="n"/>
      <c r="G93" s="15" t="n"/>
      <c r="H93" s="26" t="n"/>
      <c r="I93" s="26" t="n"/>
      <c r="J93" s="26" t="n"/>
      <c r="K93" s="12" t="n"/>
      <c r="L93" s="12" t="n"/>
    </row>
    <row r="94">
      <c r="A94" s="12" t="n"/>
      <c r="B94" s="12" t="n"/>
      <c r="C94" s="12" t="n"/>
      <c r="D94" s="12" t="n"/>
      <c r="E94" s="12" t="n"/>
      <c r="F94" s="12" t="n"/>
      <c r="G94" s="15" t="n"/>
      <c r="H94" s="26" t="n"/>
      <c r="I94" s="26" t="n"/>
      <c r="J94" s="26" t="n"/>
      <c r="K94" s="12" t="n"/>
      <c r="L94" s="12" t="n"/>
    </row>
    <row r="95">
      <c r="A95" s="12" t="n"/>
      <c r="B95" s="12" t="n"/>
      <c r="C95" s="12" t="n"/>
      <c r="D95" s="12" t="n"/>
      <c r="E95" s="12" t="n"/>
      <c r="F95" s="12" t="n"/>
      <c r="G95" s="15" t="n"/>
      <c r="H95" s="26" t="n"/>
      <c r="I95" s="26" t="n"/>
      <c r="J95" s="26" t="n"/>
      <c r="K95" s="12" t="n"/>
      <c r="L95" s="12" t="n"/>
    </row>
    <row r="96">
      <c r="A96" s="12" t="n"/>
      <c r="B96" s="12" t="n"/>
      <c r="C96" s="12" t="n"/>
      <c r="D96" s="12" t="n"/>
      <c r="E96" s="12" t="n"/>
      <c r="F96" s="12" t="n"/>
      <c r="G96" s="15" t="n"/>
      <c r="H96" s="26" t="n"/>
      <c r="I96" s="26" t="n"/>
      <c r="J96" s="26" t="n"/>
      <c r="K96" s="12" t="n"/>
      <c r="L96" s="12" t="n"/>
    </row>
    <row r="97">
      <c r="A97" s="12" t="n"/>
      <c r="B97" s="12" t="n"/>
      <c r="C97" s="12" t="n"/>
      <c r="D97" s="12" t="n"/>
      <c r="E97" s="12" t="n"/>
      <c r="F97" s="12" t="n"/>
      <c r="G97" s="15" t="n"/>
      <c r="H97" s="26" t="n"/>
      <c r="I97" s="26" t="n"/>
      <c r="J97" s="26" t="n"/>
      <c r="K97" s="12" t="n"/>
      <c r="L97" s="12" t="n"/>
    </row>
    <row r="98">
      <c r="A98" s="12" t="n"/>
      <c r="B98" s="12" t="n"/>
      <c r="C98" s="12" t="n"/>
      <c r="D98" s="12" t="n"/>
      <c r="E98" s="12" t="n"/>
      <c r="F98" s="12" t="n"/>
      <c r="G98" s="15" t="n"/>
      <c r="H98" s="26" t="n"/>
      <c r="I98" s="26" t="n"/>
      <c r="J98" s="26" t="n"/>
      <c r="K98" s="12" t="n"/>
      <c r="L98" s="12" t="n"/>
    </row>
    <row r="99">
      <c r="A99" s="12" t="n"/>
      <c r="B99" s="12" t="n"/>
      <c r="C99" s="12" t="n"/>
      <c r="D99" s="12" t="n"/>
      <c r="E99" s="12" t="n"/>
      <c r="F99" s="12" t="n"/>
      <c r="G99" s="15" t="n"/>
      <c r="H99" s="26" t="n"/>
      <c r="I99" s="26" t="n"/>
      <c r="J99" s="26" t="n"/>
      <c r="K99" s="12" t="n"/>
      <c r="L99" s="12" t="n"/>
    </row>
    <row r="100">
      <c r="A100" s="12" t="n"/>
      <c r="B100" s="12" t="n"/>
      <c r="C100" s="12" t="n"/>
      <c r="D100" s="12" t="n"/>
      <c r="E100" s="12" t="n"/>
      <c r="F100" s="12" t="n"/>
      <c r="G100" s="15" t="n"/>
      <c r="H100" s="26" t="n"/>
      <c r="I100" s="26" t="n"/>
      <c r="J100" s="26" t="n"/>
      <c r="K100" s="12" t="n"/>
      <c r="L100" s="12" t="n"/>
    </row>
    <row r="101">
      <c r="A101" s="12" t="n"/>
      <c r="B101" s="12" t="n"/>
      <c r="C101" s="12" t="n"/>
      <c r="D101" s="12" t="n"/>
      <c r="E101" s="12" t="n"/>
      <c r="F101" s="12" t="n"/>
      <c r="G101" s="15" t="n"/>
      <c r="H101" s="26" t="n"/>
      <c r="I101" s="26" t="n"/>
      <c r="J101" s="26" t="n"/>
      <c r="K101" s="12" t="n"/>
      <c r="L101" s="12" t="n"/>
    </row>
    <row r="102">
      <c r="A102" s="12" t="n"/>
      <c r="B102" s="12" t="n"/>
      <c r="C102" s="12" t="n"/>
      <c r="D102" s="12" t="n"/>
      <c r="E102" s="12" t="n"/>
      <c r="F102" s="12" t="n"/>
      <c r="G102" s="15" t="n"/>
      <c r="H102" s="26" t="n"/>
      <c r="I102" s="26" t="n"/>
      <c r="J102" s="26" t="n"/>
      <c r="K102" s="12" t="n"/>
      <c r="L102" s="12" t="n"/>
    </row>
    <row r="103">
      <c r="A103" s="12" t="n"/>
      <c r="B103" s="12" t="n"/>
      <c r="C103" s="12" t="n"/>
      <c r="D103" s="12" t="n"/>
      <c r="E103" s="12" t="n"/>
      <c r="F103" s="12" t="n"/>
      <c r="G103" s="15" t="n"/>
      <c r="H103" s="26" t="n"/>
      <c r="I103" s="26" t="n"/>
      <c r="J103" s="26" t="n"/>
      <c r="K103" s="12" t="n"/>
      <c r="L103" s="12" t="n"/>
    </row>
    <row r="104">
      <c r="A104" s="12" t="n"/>
      <c r="B104" s="12" t="n"/>
      <c r="C104" s="12" t="n"/>
      <c r="D104" s="12" t="n"/>
      <c r="E104" s="12" t="n"/>
      <c r="F104" s="12" t="n"/>
      <c r="G104" s="15" t="n"/>
      <c r="H104" s="26" t="n"/>
      <c r="I104" s="26" t="n"/>
      <c r="J104" s="26" t="n"/>
      <c r="K104" s="12" t="n"/>
      <c r="L104" s="12" t="n"/>
    </row>
  </sheetData>
  <dataValidations count="2">
    <dataValidation sqref="K5:K104" showDropDown="0" showInputMessage="0" showErrorMessage="0" allowBlank="1" type="list">
      <formula1>"Lead,Quoted,Active,Paused,Lost"</formula1>
    </dataValidation>
    <dataValidation sqref="F5:F104" showDropDown="0" showInputMessage="0" showErrorMessage="0" allowBlank="1" type="list">
      <formula1>"One-time,Weekly,Biweekly,Monthly,Nightly"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Follow-Up Message Templates</t>
        </is>
      </c>
    </row>
    <row r="2">
      <c r="A2" s="2" t="inlineStr">
        <is>
          <t>Copy, replace the [brackets], send. Get consent before texting or emailing marketing messages and honor opt-outs.</t>
        </is>
      </c>
    </row>
    <row r="4">
      <c r="A4" s="5" t="inlineStr">
        <is>
          <t>When to use</t>
        </is>
      </c>
      <c r="B4" s="5" t="inlineStr">
        <is>
          <t>Message</t>
        </is>
      </c>
    </row>
    <row r="5" ht="62" customHeight="1">
      <c r="A5" s="8" t="inlineStr">
        <is>
          <t>Quote follow-up (2 days after sending a quote)</t>
        </is>
      </c>
      <c r="B5" s="8" t="inlineStr">
        <is>
          <t>Hi [Client Name], this is [Your Name] from [Business]. I sent your cleaning quote for [Service] on [Day]. Do you have any questions, or would you like me to hold a time for you on [Date]? Happy to adjust the scope if that helps.</t>
        </is>
      </c>
    </row>
    <row r="6" ht="62" customHeight="1">
      <c r="A6" s="8" t="inlineStr">
        <is>
          <t>Quote follow-up (7 days, last touch)</t>
        </is>
      </c>
      <c r="B6" s="8" t="inlineStr">
        <is>
          <t>Hi [Client Name], I'm closing out quotes from last week and didn't want to lose touch. If you're still interested, I can fit you in on [Date]. If now isn't the right time, no problem at all - just let me know.</t>
        </is>
      </c>
    </row>
    <row r="7" ht="62" customHeight="1">
      <c r="A7" s="8" t="inlineStr">
        <is>
          <t>After the first clean</t>
        </is>
      </c>
      <c r="B7" s="8" t="inlineStr">
        <is>
          <t>Hi [Client Name], thanks for having us today! Was everything how you wanted it? If anything was missed, tell me and we'll make it right. If you'd like us to come back on a regular schedule, I can set up [Frequency] visits at [Price].</t>
        </is>
      </c>
    </row>
    <row r="8" ht="62" customHeight="1">
      <c r="A8" s="8" t="inlineStr">
        <is>
          <t>Recurring offer</t>
        </is>
      </c>
      <c r="B8" s="8" t="inlineStr">
        <is>
          <t>Hi [Client Name], since we've cleaned for you once, I can offer a recurring rate of [Price] per visit for [Frequency] service. Want me to put you on the calendar starting [Date]?</t>
        </is>
      </c>
    </row>
    <row r="9" ht="62" customHeight="1">
      <c r="A9" s="8" t="inlineStr">
        <is>
          <t>Asking for a review</t>
        </is>
      </c>
      <c r="B9" s="8" t="inlineStr">
        <is>
          <t>Hi [Client Name], thank you for choosing [Business]. If you were happy with the clean, an honest review at [Review Link] helps a small business like ours. Whatever your experience was, we'd value your feedback.</t>
        </is>
      </c>
    </row>
    <row r="10" ht="62" customHeight="1">
      <c r="A10" s="8" t="inlineStr">
        <is>
          <t>Lapsed client check-in (60+ days)</t>
        </is>
      </c>
      <c r="B10" s="8" t="inlineStr">
        <is>
          <t>Hi [Client Name], it's been a while since your last clean. Would you like to schedule one for [Date]? I have openings on [Days].</t>
        </is>
      </c>
    </row>
    <row r="11" ht="62" customHeight="1">
      <c r="A11" s="8" t="inlineStr">
        <is>
          <t>Price update notice (give 30 days' notice)</t>
        </is>
      </c>
      <c r="B11" s="8" t="inlineStr">
        <is>
          <t>Hi [Client Name], to keep our quality and our team paid fairly, our price for your [Service] will change from [Old Price] to [New Price] starting [Date]. Thank you for being a valued client; call me with any questions.</t>
        </is>
      </c>
    </row>
    <row r="12" ht="62" customHeight="1">
      <c r="A12" s="8" t="inlineStr">
        <is>
          <t>Reschedule / cancellation reply</t>
        </is>
      </c>
      <c r="B12" s="8" t="inlineStr">
        <is>
          <t>Hi [Client Name], no problem - I can move your clean to [Date/Time]. Per our policy, cancellations within [24] hours of the visit may carry a fee of [Amount]. Which time works best?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2026-10-09T01:31:12Z</dcterms:created>
  <dcterms:modified xmlns:dcterms="http://purl.org/dc/terms/" xmlns:xsi="http://www.w3.org/2001/XMLSchema-instance" xsi:type="dcterms:W3CDTF">2026-10-09T01:31:12Z</dcterms:modified>
</cp:coreProperties>
</file>
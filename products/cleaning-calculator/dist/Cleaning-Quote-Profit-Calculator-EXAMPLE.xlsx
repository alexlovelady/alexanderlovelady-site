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ote" sheetId="3" state="visible" r:id="rId3"/>
    <sheet xmlns:r="http://schemas.openxmlformats.org/officeDocument/2006/relationships"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555555"/>
    </font>
    <font>
      <b val="1"/>
      <color rgb="001F3A4D"/>
    </font>
    <font>
      <b val="1"/>
      <color rgb="00FFFFFF"/>
    </font>
    <font>
      <i val="1"/>
      <color rgb="00777777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D8EEF1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center"/>
    </xf>
    <xf numFmtId="0" fontId="5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0" applyAlignment="1" pivotButton="0" quotePrefix="0" xfId="0">
      <alignment vertical="top" wrapText="1"/>
    </xf>
    <xf numFmtId="165" fontId="6" fillId="5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5EFD5"/>
        </patternFill>
      </fill>
    </dxf>
    <dxf>
      <fill>
        <patternFill patternType="solid">
          <fgColor rgb="00FBE7B5"/>
        </patternFill>
      </fill>
    </dxf>
    <dxf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Cleaning Business Job Profit &amp; Quote Calculator</t>
        </is>
      </c>
    </row>
    <row r="2">
      <c r="A2" s="2" t="inlineStr">
        <is>
          <t>Start here</t>
        </is>
      </c>
    </row>
    <row r="4" ht="30" customHeight="1">
      <c r="A4" s="3" t="inlineStr">
        <is>
          <t>What this does</t>
        </is>
      </c>
      <c r="B4" s="4" t="inlineStr">
        <is>
          <t>Tells you what to charge so a job actually makes the profit you want, then shows whether the job did.</t>
        </is>
      </c>
    </row>
    <row r="5" ht="48" customHeight="1">
      <c r="A5" s="3" t="inlineStr">
        <is>
          <t>Step 1</t>
        </is>
      </c>
      <c r="B5" s="4" t="inlineStr">
        <is>
          <t>Go to the Settings sheet. Enter your labor cost per hour, overhead %, target margin, mileage cost, recurring discount and minimum price.</t>
        </is>
      </c>
    </row>
    <row r="6" ht="30" customHeight="1">
      <c r="A6" s="3" t="inlineStr">
        <is>
          <t>Step 2</t>
        </is>
      </c>
      <c r="B6" s="4" t="inlineStr">
        <is>
          <t>Go to the Quote sheet. Describe the job in the yellow cells. Quote the price in 'QUOTE THIS PRICE'.</t>
        </is>
      </c>
    </row>
    <row r="7" ht="30" customHeight="1">
      <c r="A7" s="3" t="inlineStr">
        <is>
          <t>Step 3</t>
        </is>
      </c>
      <c r="B7" s="4" t="inlineStr">
        <is>
          <t>See the Examples sheet for three fictional jobs (a recurring home, a move-out deep clean, a small office).</t>
        </is>
      </c>
    </row>
    <row r="8" ht="30" customHeight="1">
      <c r="A8" s="3" t="inlineStr">
        <is>
          <t>Colors</t>
        </is>
      </c>
      <c r="B8" s="4" t="inlineStr">
        <is>
          <t>Yellow = you type here. Gray = calculated, don't type over it. Blue = key results.</t>
        </is>
      </c>
    </row>
    <row r="9" ht="48" customHeight="1">
      <c r="A9" s="3" t="inlineStr">
        <is>
          <t>Margin vs markup</t>
        </is>
      </c>
      <c r="B9" s="4" t="inlineStr">
        <is>
          <t>Margin = profit / price. Markup = profit / cost. Example: a job costs $100. A 40% margin means price = 100 / (1 - 0.40) = $166.67, profit $66.67. That is a 66.7% markup but a 40% margin. This sheet uses margin so your profit % is what you really keep.</t>
        </is>
      </c>
    </row>
    <row r="10" ht="48" customHeight="1">
      <c r="A10" s="3" t="inlineStr">
        <is>
          <t>Google Sheets</t>
        </is>
      </c>
      <c r="B10" s="4" t="inlineStr">
        <is>
          <t>Upload this file to Google Drive and open with Google Sheets, or use File &gt; Import. All formulas are standard and work in both.</t>
        </is>
      </c>
    </row>
    <row r="11" ht="48" customHeight="1">
      <c r="A11" s="3" t="inlineStr">
        <is>
          <t>Not included</t>
        </is>
      </c>
      <c r="B11" s="4" t="inlineStr">
        <is>
          <t>No macros. No tax, payroll or accounting features. This workbook is a planning tool. It is not tax, accounting, legal or financial advice. Check your numbers with your own accountant.</t>
        </is>
      </c>
    </row>
    <row r="12" ht="30" customHeight="1">
      <c r="A12" s="3" t="inlineStr">
        <is>
          <t>Support</t>
        </is>
      </c>
      <c r="B12" s="4" t="inlineStr">
        <is>
          <t>This is a template. It can't know your costs. If a result looks wrong, check your Settings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0" customWidth="1" min="3" max="3"/>
  </cols>
  <sheetData>
    <row r="1">
      <c r="A1" s="1" t="inlineStr">
        <is>
          <t>Settings</t>
        </is>
      </c>
    </row>
    <row r="2">
      <c r="A2" s="2" t="inlineStr">
        <is>
          <t>Starter values are filled in so the Examples work. REPLACE them with your own numbers.</t>
        </is>
      </c>
    </row>
    <row r="3">
      <c r="A3" s="5" t="inlineStr">
        <is>
          <t>Setting</t>
        </is>
      </c>
      <c r="B3" s="5" t="inlineStr">
        <is>
          <t>Value</t>
        </is>
      </c>
      <c r="C3" s="5" t="inlineStr">
        <is>
          <t>What it means</t>
        </is>
      </c>
    </row>
    <row r="4" ht="45" customHeight="1">
      <c r="A4" s="6" t="inlineStr">
        <is>
          <t>Labor cost per cleaner-hour</t>
        </is>
      </c>
      <c r="B4" s="7" t="n">
        <v>18</v>
      </c>
      <c r="C4" s="8" t="inlineStr">
        <is>
          <t>What one cleaner costs you per hour: wages PLUS payroll taxes/workers' comp. Pay yourself too.</t>
        </is>
      </c>
    </row>
    <row r="5" ht="45" customHeight="1">
      <c r="A5" s="6" t="inlineStr">
        <is>
          <t>Overhead (% added on top of direct cost)</t>
        </is>
      </c>
      <c r="B5" s="9" t="n">
        <v>0.1</v>
      </c>
      <c r="C5" s="8" t="inlineStr">
        <is>
          <t>Insurance, software, phone, cleaning equipment wear, admin time. 8-15% is common; use your real number.</t>
        </is>
      </c>
    </row>
    <row r="6" ht="45" customHeight="1">
      <c r="A6" s="6" t="inlineStr">
        <is>
          <t>Target profit margin</t>
        </is>
      </c>
      <c r="B6" s="9" t="n">
        <v>0.35</v>
      </c>
      <c r="C6" s="8" t="inlineStr">
        <is>
          <t>Profit as a % of the PRICE (not of cost). 35% margin means $35 of every $100 you charge is profit.</t>
        </is>
      </c>
    </row>
    <row r="7" ht="45" customHeight="1">
      <c r="A7" s="6" t="inlineStr">
        <is>
          <t>Vehicle cost per mile</t>
        </is>
      </c>
      <c r="B7" s="7" t="n">
        <v>0.67</v>
      </c>
      <c r="C7" s="8" t="inlineStr">
        <is>
          <t>Your real cost to drive one mile (fuel, wear, insurance). Check the current IRS mileage rate as a reference.</t>
        </is>
      </c>
    </row>
    <row r="8" ht="45" customHeight="1">
      <c r="A8" s="6" t="inlineStr">
        <is>
          <t>Recurring-client discount</t>
        </is>
      </c>
      <c r="B8" s="9" t="n">
        <v>0.1</v>
      </c>
      <c r="C8" s="8" t="inlineStr">
        <is>
          <t>Discount off the one-time price for recurring clients. Enter 0% for none.</t>
        </is>
      </c>
    </row>
    <row r="9" ht="45" customHeight="1">
      <c r="A9" s="6" t="inlineStr">
        <is>
          <t>Minimum job price</t>
        </is>
      </c>
      <c r="B9" s="7" t="n">
        <v>90</v>
      </c>
      <c r="C9" s="8" t="inlineStr">
        <is>
          <t>Never quote below this, even for a tiny job.</t>
        </is>
      </c>
    </row>
    <row r="11">
      <c r="A11" s="10" t="inlineStr">
        <is>
          <t>This workbook is a planning tool. It is not tax, accounting, legal or financial advice. Check your numbers with your own accountant.</t>
        </is>
      </c>
    </row>
  </sheetData>
  <dataValidations count="3">
    <dataValidation sqref="B6" showDropDown="0" showInputMessage="0" showErrorMessage="1" allowBlank="0" errorTitle="Margin" error="Enter a percentage between 0% and 95%." type="decimal" operator="between">
      <formula1>0</formula1>
      <formula2>0.95</formula2>
    </dataValidation>
    <dataValidation sqref="B5 B8" showDropDown="0" showInputMessage="0" showErrorMessage="1" allowBlank="0" error="Enter a percentage between 0% and 100%." type="decimal" operator="between">
      <formula1>0</formula1>
      <formula2>1</formula2>
    </dataValidation>
    <dataValidation sqref="B4 B7 B9" showDropDown="0" showInputMessage="0" showErrorMessage="1" allowBlank="0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60" customWidth="1" min="3" max="3"/>
  </cols>
  <sheetData>
    <row r="1">
      <c r="A1" s="1" t="inlineStr">
        <is>
          <t>Job Quote Calculator</t>
        </is>
      </c>
    </row>
    <row r="2">
      <c r="A2" s="2" t="inlineStr">
        <is>
          <t>Fill the yellow cells. Gray cells calculate. Quote the 'QUOTE THIS PRICE' number.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</row>
    <row r="6">
      <c r="A6" s="11" t="inlineStr">
        <is>
          <t>Hours on site per cleaner</t>
        </is>
      </c>
      <c r="B6" s="14" t="n">
        <v>2</v>
      </c>
    </row>
    <row r="7">
      <c r="A7" s="11" t="inlineStr">
        <is>
          <t>Supplies &amp; materials for this visit ($)</t>
        </is>
      </c>
      <c r="B7" s="15" t="n">
        <v>6</v>
      </c>
    </row>
    <row r="8">
      <c r="A8" s="11" t="inlineStr">
        <is>
          <t>Round-trip miles (all vehicles)</t>
        </is>
      </c>
      <c r="B8" s="16" t="n">
        <v>14</v>
      </c>
    </row>
    <row r="9">
      <c r="A9" s="11" t="inlineStr">
        <is>
          <t>Other direct costs ($, e.g. equipment rental)</t>
        </is>
      </c>
      <c r="B9" s="15" t="n">
        <v>0</v>
      </c>
    </row>
    <row r="10">
      <c r="A10" s="11" t="inlineStr">
        <is>
          <t>Visits per month (recurring jobs only)</t>
        </is>
      </c>
      <c r="B10" s="13" t="n">
        <v>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</row>
    <row r="14">
      <c r="A14" s="11" t="inlineStr">
        <is>
          <t>Labor cost</t>
        </is>
      </c>
      <c r="B14" s="19">
        <f>B13*Settings!$B$4</f>
        <v/>
      </c>
    </row>
    <row r="15">
      <c r="A15" s="11" t="inlineStr">
        <is>
          <t>Travel cost</t>
        </is>
      </c>
      <c r="B15" s="19">
        <f>B8*Settings!$B$7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</row>
    <row r="17">
      <c r="A17" s="11" t="inlineStr">
        <is>
          <t>Overhead</t>
        </is>
      </c>
      <c r="B17" s="19">
        <f>B16*Settings!$B$5</f>
        <v/>
      </c>
    </row>
    <row r="18">
      <c r="A18" s="20" t="inlineStr">
        <is>
          <t>TOTAL COST to do this visit</t>
        </is>
      </c>
      <c r="B18" s="21">
        <f>B16+B17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2" t="inlineStr">
        <is>
          <t>Rounded up to the next whole dollar and never below your minimum job price.</t>
        </is>
      </c>
    </row>
    <row r="22">
      <c r="A22" s="20" t="inlineStr">
        <is>
          <t>Profit per visit</t>
        </is>
      </c>
      <c r="B22" s="21">
        <f>B21-B18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2" t="inlineStr">
        <is>
          <t>Margin = profit / PRICE. This is what you keep from every dollar charged.</t>
        </is>
      </c>
    </row>
    <row r="24">
      <c r="A24" s="11" t="inlineStr">
        <is>
          <t>Markup on cost (profit / cost)</t>
        </is>
      </c>
      <c r="B24" s="24">
        <f>IF(B18=0,0,B22/B18)</f>
        <v/>
      </c>
      <c r="C24" s="22" t="inlineStr">
        <is>
          <t>Markup = profit / COST. A 50% markup is only a 33% margin. Don't mix them up.</t>
        </is>
      </c>
    </row>
    <row r="25">
      <c r="A25" s="11" t="inlineStr">
        <is>
          <t>Profit per labor hour</t>
        </is>
      </c>
      <c r="B25" s="19">
        <f>IF(B13=0,0,B22/B13)</f>
        <v/>
      </c>
      <c r="C25" s="22" t="inlineStr">
        <is>
          <t>Profit left after ALL costs, divided by labor hours.</t>
        </is>
      </c>
    </row>
    <row r="26">
      <c r="A26" s="11" t="inlineStr">
        <is>
          <t>Monthly revenue (recurring)</t>
        </is>
      </c>
      <c r="B26" s="19">
        <f>IF(B4="Recurring",B21*B10,0)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</row>
    <row r="30">
      <c r="A30" s="10" t="inlineStr">
        <is>
          <t>This workbook is a planning tool. It is not tax, accounting, legal or financial advice. Check your numbers with your own accountant.</t>
        </is>
      </c>
    </row>
  </sheetData>
  <conditionalFormatting sqref="B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dataValidations count="2">
    <dataValidation sqref="B4" showDropDown="0" showInputMessage="0" showErrorMessage="1" allowBlank="1" error="Choose One-time or Recurring." type="list">
      <formula1>"One-time,Recurring"</formula1>
    </dataValidation>
    <dataValidation sqref="B5 B6 B7 B8 B9 B10" showDropDown="0" showInputMessage="0" showErrorMessage="1" allowBlank="1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Three example jobs (fictional)</t>
        </is>
      </c>
    </row>
    <row r="2">
      <c r="A2" s="2" t="inlineStr">
        <is>
          <t>Same math as the Quote sheet, using your Settings. Change Settings to see prices move.</t>
        </is>
      </c>
    </row>
    <row r="3">
      <c r="A3" s="11" t="inlineStr">
        <is>
          <t>Client / job name</t>
        </is>
      </c>
      <c r="B3" s="12" t="inlineStr">
        <is>
          <t>Standard 3BR/2BA - biweekly</t>
        </is>
      </c>
      <c r="C3" s="12" t="inlineStr">
        <is>
          <t>Move-out deep clean - 4BR</t>
        </is>
      </c>
      <c r="D3" s="12" t="inlineStr">
        <is>
          <t>Small office - nightly, 5x/week</t>
        </is>
      </c>
    </row>
    <row r="4">
      <c r="A4" s="11" t="inlineStr">
        <is>
          <t>Job type (One-time or Recurring)</t>
        </is>
      </c>
      <c r="B4" s="12" t="inlineStr">
        <is>
          <t>Recurring</t>
        </is>
      </c>
      <c r="C4" s="12" t="inlineStr">
        <is>
          <t>One-time</t>
        </is>
      </c>
      <c r="D4" s="12" t="inlineStr">
        <is>
          <t>Recurring</t>
        </is>
      </c>
    </row>
    <row r="5">
      <c r="A5" s="11" t="inlineStr">
        <is>
          <t>Number of cleaners</t>
        </is>
      </c>
      <c r="B5" s="13" t="n">
        <v>2</v>
      </c>
      <c r="C5" s="13" t="n">
        <v>3</v>
      </c>
      <c r="D5" s="13" t="n">
        <v>1</v>
      </c>
    </row>
    <row r="6">
      <c r="A6" s="11" t="inlineStr">
        <is>
          <t>Hours on site per cleaner</t>
        </is>
      </c>
      <c r="B6" s="14" t="n">
        <v>2</v>
      </c>
      <c r="C6" s="14" t="n">
        <v>3</v>
      </c>
      <c r="D6" s="14" t="n">
        <v>1.5</v>
      </c>
    </row>
    <row r="7">
      <c r="A7" s="11" t="inlineStr">
        <is>
          <t>Supplies &amp; materials for this visit ($)</t>
        </is>
      </c>
      <c r="B7" s="15" t="n">
        <v>6</v>
      </c>
      <c r="C7" s="15" t="n">
        <v>25</v>
      </c>
      <c r="D7" s="15" t="n">
        <v>5</v>
      </c>
    </row>
    <row r="8">
      <c r="A8" s="11" t="inlineStr">
        <is>
          <t>Round-trip miles (all vehicles)</t>
        </is>
      </c>
      <c r="B8" s="16" t="n">
        <v>14</v>
      </c>
      <c r="C8" s="16" t="n">
        <v>22</v>
      </c>
      <c r="D8" s="16" t="n">
        <v>8</v>
      </c>
    </row>
    <row r="9">
      <c r="A9" s="11" t="inlineStr">
        <is>
          <t>Other direct costs ($, e.g. equipment rental)</t>
        </is>
      </c>
      <c r="B9" s="15" t="n">
        <v>0</v>
      </c>
      <c r="C9" s="15" t="n">
        <v>15</v>
      </c>
      <c r="D9" s="15" t="n">
        <v>0</v>
      </c>
    </row>
    <row r="10">
      <c r="A10" s="11" t="inlineStr">
        <is>
          <t>Visits per month (recurring jobs only)</t>
        </is>
      </c>
      <c r="B10" s="13" t="n">
        <v>2</v>
      </c>
      <c r="C10" s="13" t="n"/>
      <c r="D10" s="13" t="n">
        <v>22</v>
      </c>
    </row>
    <row r="12">
      <c r="A12" s="17" t="inlineStr">
        <is>
          <t>RESULTS</t>
        </is>
      </c>
    </row>
    <row r="13">
      <c r="A13" s="11" t="inlineStr">
        <is>
          <t>Total labor hours</t>
        </is>
      </c>
      <c r="B13" s="18">
        <f>B5*B6</f>
        <v/>
      </c>
      <c r="C13" s="18">
        <f>C5*C6</f>
        <v/>
      </c>
      <c r="D13" s="18">
        <f>D5*D6</f>
        <v/>
      </c>
    </row>
    <row r="14">
      <c r="A14" s="11" t="inlineStr">
        <is>
          <t>Labor cost</t>
        </is>
      </c>
      <c r="B14" s="19">
        <f>B13*Settings!$B$4</f>
        <v/>
      </c>
      <c r="C14" s="19">
        <f>C13*Settings!$B$4</f>
        <v/>
      </c>
      <c r="D14" s="19">
        <f>D13*Settings!$B$4</f>
        <v/>
      </c>
    </row>
    <row r="15">
      <c r="A15" s="11" t="inlineStr">
        <is>
          <t>Travel cost</t>
        </is>
      </c>
      <c r="B15" s="19">
        <f>B8*Settings!$B$7</f>
        <v/>
      </c>
      <c r="C15" s="19">
        <f>C8*Settings!$B$7</f>
        <v/>
      </c>
      <c r="D15" s="19">
        <f>D8*Settings!$B$7</f>
        <v/>
      </c>
    </row>
    <row r="16">
      <c r="A16" s="11" t="inlineStr">
        <is>
          <t>Direct cost (labor + travel + supplies + other)</t>
        </is>
      </c>
      <c r="B16" s="19">
        <f>B14+B15+B7+B9</f>
        <v/>
      </c>
      <c r="C16" s="19">
        <f>C14+C15+C7+C9</f>
        <v/>
      </c>
      <c r="D16" s="19">
        <f>D14+D15+D7+D9</f>
        <v/>
      </c>
    </row>
    <row r="17">
      <c r="A17" s="11" t="inlineStr">
        <is>
          <t>Overhead</t>
        </is>
      </c>
      <c r="B17" s="19">
        <f>B16*Settings!$B$5</f>
        <v/>
      </c>
      <c r="C17" s="19">
        <f>C16*Settings!$B$5</f>
        <v/>
      </c>
      <c r="D17" s="19">
        <f>D16*Settings!$B$5</f>
        <v/>
      </c>
    </row>
    <row r="18">
      <c r="A18" s="20" t="inlineStr">
        <is>
          <t>TOTAL COST to do this visit</t>
        </is>
      </c>
      <c r="B18" s="21">
        <f>B16+B17</f>
        <v/>
      </c>
      <c r="C18" s="21">
        <f>C16+C17</f>
        <v/>
      </c>
      <c r="D18" s="21">
        <f>D16+D17</f>
        <v/>
      </c>
    </row>
    <row r="19">
      <c r="A19" s="11" t="inlineStr">
        <is>
          <t>Price needed to hit your target margin</t>
        </is>
      </c>
      <c r="B19" s="19">
        <f>IF(Settings!$B$6&gt;=1,0,B18/(1-Settings!$B$6))</f>
        <v/>
      </c>
      <c r="C19" s="19">
        <f>IF(Settings!$B$6&gt;=1,0,C18/(1-Settings!$B$6))</f>
        <v/>
      </c>
      <c r="D19" s="19">
        <f>IF(Settings!$B$6&gt;=1,0,D18/(1-Settings!$B$6))</f>
        <v/>
      </c>
    </row>
    <row r="20">
      <c r="A20" s="11" t="inlineStr">
        <is>
          <t>Recurring discount applied</t>
        </is>
      </c>
      <c r="B20" s="19">
        <f>IF(B4="Recurring",B19*Settings!$B$8,0)</f>
        <v/>
      </c>
      <c r="C20" s="19">
        <f>IF(C4="Recurring",C19*Settings!$B$8,0)</f>
        <v/>
      </c>
      <c r="D20" s="19">
        <f>IF(D4="Recurring",D19*Settings!$B$8,0)</f>
        <v/>
      </c>
    </row>
    <row r="21">
      <c r="A21" s="20" t="inlineStr">
        <is>
          <t>QUOTE THIS PRICE (per visit)</t>
        </is>
      </c>
      <c r="B21" s="21">
        <f>MAX(Settings!$B$9,ROUNDUP(B19-B20,0))</f>
        <v/>
      </c>
      <c r="C21" s="21">
        <f>MAX(Settings!$B$9,ROUNDUP(C19-C20,0))</f>
        <v/>
      </c>
      <c r="D21" s="21">
        <f>MAX(Settings!$B$9,ROUNDUP(D19-D20,0))</f>
        <v/>
      </c>
    </row>
    <row r="22">
      <c r="A22" s="20" t="inlineStr">
        <is>
          <t>Profit per visit</t>
        </is>
      </c>
      <c r="B22" s="21">
        <f>B21-B18</f>
        <v/>
      </c>
      <c r="C22" s="21">
        <f>C21-C18</f>
        <v/>
      </c>
      <c r="D22" s="21">
        <f>D21-D18</f>
        <v/>
      </c>
    </row>
    <row r="23">
      <c r="A23" s="20" t="inlineStr">
        <is>
          <t>Profit margin (profit / price)</t>
        </is>
      </c>
      <c r="B23" s="23">
        <f>IF(B21=0,0,B22/B21)</f>
        <v/>
      </c>
      <c r="C23" s="23">
        <f>IF(C21=0,0,C22/C21)</f>
        <v/>
      </c>
      <c r="D23" s="23">
        <f>IF(D21=0,0,D22/D21)</f>
        <v/>
      </c>
    </row>
    <row r="24">
      <c r="A24" s="11" t="inlineStr">
        <is>
          <t>Markup on cost (profit / cost)</t>
        </is>
      </c>
      <c r="B24" s="24">
        <f>IF(B18=0,0,B22/B18)</f>
        <v/>
      </c>
      <c r="C24" s="24">
        <f>IF(C18=0,0,C22/C18)</f>
        <v/>
      </c>
      <c r="D24" s="24">
        <f>IF(D18=0,0,D22/D18)</f>
        <v/>
      </c>
    </row>
    <row r="25">
      <c r="A25" s="11" t="inlineStr">
        <is>
          <t>Profit per labor hour</t>
        </is>
      </c>
      <c r="B25" s="19">
        <f>IF(B13=0,0,B22/B13)</f>
        <v/>
      </c>
      <c r="C25" s="19">
        <f>IF(C13=0,0,C22/C13)</f>
        <v/>
      </c>
      <c r="D25" s="19">
        <f>IF(D13=0,0,D22/D13)</f>
        <v/>
      </c>
    </row>
    <row r="26">
      <c r="A26" s="11" t="inlineStr">
        <is>
          <t>Monthly revenue (recurring)</t>
        </is>
      </c>
      <c r="B26" s="19">
        <f>IF(B4="Recurring",B21*B10,0)</f>
        <v/>
      </c>
      <c r="C26" s="19">
        <f>IF(C4="Recurring",C21*C10,0)</f>
        <v/>
      </c>
      <c r="D26" s="19">
        <f>IF(D4="Recurring",D21*D10,0)</f>
        <v/>
      </c>
    </row>
    <row r="27">
      <c r="A27" s="11" t="inlineStr">
        <is>
          <t>Monthly profit (recurring)</t>
        </is>
      </c>
      <c r="B27" s="19">
        <f>IF(B4="Recurring",B22*B10,0)</f>
        <v/>
      </c>
      <c r="C27" s="19">
        <f>IF(C4="Recurring",C22*C10,0)</f>
        <v/>
      </c>
      <c r="D27" s="19">
        <f>IF(D4="Recurring",D22*D10,0)</f>
        <v/>
      </c>
    </row>
    <row r="28" ht="48" customHeight="1">
      <c r="A28" s="11" t="inlineStr">
        <is>
          <t>Check</t>
        </is>
      </c>
      <c r="B28" s="25">
        <f>IF(Settings!$B$6&gt;=1,"Fix target margin on Settings (must be under 100%)",IF(B13=0,"Enter cleaners and hours to get a result",IF(B22&lt;0,"LOSING MONEY - raise the price",IF(B23&lt;Settings!$B$6-0.0001,"Below target margin because of the recurring discount - fine if intended","OK - at or above target margin"))))</f>
        <v/>
      </c>
      <c r="C28" s="25">
        <f>IF(Settings!$B$6&gt;=1,"Fix target margin on Settings (must be under 100%)",IF(C13=0,"Enter cleaners and hours to get a result",IF(C22&lt;0,"LOSING MONEY - raise the price",IF(C23&lt;Settings!$B$6-0.0001,"Below target margin because of the recurring discount - fine if intended","OK - at or above target margin"))))</f>
        <v/>
      </c>
      <c r="D28" s="25">
        <f>IF(Settings!$B$6&gt;=1,"Fix target margin on Settings (must be under 100%)",IF(D13=0,"Enter cleaners and hours to get a result",IF(D22&lt;0,"LOSING MONEY - raise the price",IF(D23&lt;Settings!$B$6-0.0001,"Below target margin because of the recurring discount - fine if intended","OK - at or above target margin"))))</f>
        <v/>
      </c>
    </row>
  </sheetData>
  <conditionalFormatting sqref="B28:D28">
    <cfRule type="expression" priority="1" dxfId="0">
      <formula>LEFT(B28,2)="OK"</formula>
    </cfRule>
    <cfRule type="expression" priority="2" dxfId="1">
      <formula>LEFT(B28,5)="Below"</formula>
    </cfRule>
    <cfRule type="expression" priority="3" dxfId="2">
      <formula>AND(LEFT(B28,2)&lt;&gt;"OK",LEFT(B28,5)&lt;&gt;"Below")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2026-10-09T01:31:12Z</dcterms:created>
  <dcterms:modified xmlns:dcterms="http://purl.org/dc/terms/" xmlns:xsi="http://www.w3.org/2001/XMLSchema-instance" xsi:type="dcterms:W3CDTF">2026-10-09T01:31:12Z</dcterms:modified>
</cp:coreProperties>
</file>
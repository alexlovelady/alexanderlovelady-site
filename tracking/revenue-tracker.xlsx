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al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Daily Metrics" sheetId="3" state="visible" r:id="rId3"/>
    <sheet xmlns:r="http://schemas.openxmlformats.org/officeDocument/2006/relationships" name="By Offer" sheetId="4" state="visible" r:id="rId4"/>
    <sheet xmlns:r="http://schemas.openxmlformats.org/officeDocument/2006/relationships" name="Li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"/>
    <numFmt numFmtId="166" formatCode="0.0%"/>
  </numFmts>
  <fonts count="5">
    <font>
      <name val="Calibri"/>
      <family val="2"/>
      <color theme="1"/>
      <sz val="11"/>
      <scheme val="minor"/>
    </font>
    <font>
      <b val="1"/>
      <color rgb="001F3A4D"/>
      <sz val="16"/>
    </font>
    <font>
      <i val="1"/>
      <color rgb="00777777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FFF6D6"/>
      </patternFill>
    </fill>
    <fill>
      <patternFill patternType="solid">
        <fgColor rgb="00EEF2F4"/>
      </patternFill>
    </fill>
    <fill>
      <patternFill patternType="solid">
        <fgColor rgb="001F3A4D"/>
      </patternFill>
    </fill>
  </fills>
  <borders count="2">
    <border>
      <left/>
      <right/>
      <top/>
      <bottom/>
      <diagonal/>
    </border>
    <border>
      <left style="thin">
        <color rgb="00B8C2C8"/>
      </left>
      <right style="thin">
        <color rgb="00B8C2C8"/>
      </right>
      <top style="thin">
        <color rgb="00B8C2C8"/>
      </top>
      <bottom style="thin">
        <color rgb="00B8C2C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164" fontId="0" fillId="2" borderId="1" pivotButton="0" quotePrefix="0" xfId="0"/>
    <xf numFmtId="9" fontId="0" fillId="2" borderId="1" pivotButton="0" quotePrefix="0" xfId="0"/>
    <xf numFmtId="164" fontId="0" fillId="3" borderId="1" pivotButton="0" quotePrefix="0" xfId="0"/>
    <xf numFmtId="165" fontId="0" fillId="2" borderId="1" pivotButton="0" quotePrefix="0" xfId="0"/>
    <xf numFmtId="1" fontId="0" fillId="3" borderId="1" pivotButton="0" quotePrefix="0" xfId="0"/>
    <xf numFmtId="0" fontId="2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165" fontId="0" fillId="0" borderId="1" pivotButton="0" quotePrefix="0" xfId="0"/>
    <xf numFmtId="166" fontId="0" fillId="3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</cols>
  <sheetData>
    <row r="1">
      <c r="A1" s="1" t="inlineStr">
        <is>
          <t>Rent goal</t>
        </is>
      </c>
    </row>
    <row r="3">
      <c r="A3" s="2" t="inlineStr">
        <is>
          <t>Amount needed NET (after fees), on top of other income</t>
        </is>
      </c>
      <c r="B3" s="3" t="n">
        <v>2000</v>
      </c>
    </row>
    <row r="4">
      <c r="A4" s="2" t="inlineStr">
        <is>
          <t>Platform fee % (Fiverr reported 20%; check each platform)</t>
        </is>
      </c>
      <c r="B4" s="4" t="n">
        <v>0.2</v>
      </c>
    </row>
    <row r="5">
      <c r="A5" s="2" t="inlineStr">
        <is>
          <t>Gross sales needed</t>
        </is>
      </c>
      <c r="B5" s="5">
        <f>IF(B4&gt;=1,0,B3/(1-B4))</f>
        <v/>
      </c>
    </row>
    <row r="6">
      <c r="A6" s="2" t="inlineStr">
        <is>
          <t>Net cash RECEIVED so far (payouts that have cleared)</t>
        </is>
      </c>
      <c r="B6" s="5">
        <f>SUMIFS(Orders!$K:$K,Orders!$L:$L,"yes")</f>
        <v/>
      </c>
    </row>
    <row r="7">
      <c r="A7" s="2" t="inlineStr">
        <is>
          <t>Net still pending clearance</t>
        </is>
      </c>
      <c r="B7" s="5">
        <f>SUMIFS(Orders!$K:$K,Orders!$L:$L,"&lt;&gt;yes")</f>
        <v/>
      </c>
    </row>
    <row r="8">
      <c r="A8" s="2" t="inlineStr">
        <is>
          <t>Remaining to reach goal (cleared only)</t>
        </is>
      </c>
      <c r="B8" s="5">
        <f>MAX(0,B3-B6)</f>
        <v/>
      </c>
    </row>
    <row r="9">
      <c r="A9" s="2" t="inlineStr">
        <is>
          <t>Goal date</t>
        </is>
      </c>
      <c r="B9" s="6" t="n">
        <v>46327</v>
      </c>
    </row>
    <row r="10">
      <c r="A10" s="2" t="inlineStr">
        <is>
          <t>Days left</t>
        </is>
      </c>
      <c r="B10" s="7">
        <f>MAX(0,B9-TODAY())</f>
        <v/>
      </c>
    </row>
    <row r="12">
      <c r="A12" s="8" t="inlineStr">
        <is>
          <t>Cash only counts when the payout has cleared. Mark the 'Cleared?' column on the Orders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11" customWidth="1" min="3" max="3"/>
    <col width="22" customWidth="1" min="4" max="4"/>
    <col width="12" customWidth="1" min="5" max="5"/>
    <col width="8" customWidth="1" min="6" max="6"/>
    <col width="10" customWidth="1" min="7" max="7"/>
    <col width="11" customWidth="1" min="8" max="8"/>
    <col width="12" customWidth="1" min="9" max="9"/>
    <col width="12" customWidth="1" min="10" max="10"/>
    <col width="13" customWidth="1" min="11" max="11"/>
    <col width="10" customWidth="1" min="12" max="12"/>
    <col width="11" customWidth="1" min="13" max="13"/>
    <col width="11" customWidth="1" min="14" max="14"/>
    <col width="30" customWidth="1" min="15" max="15"/>
  </cols>
  <sheetData>
    <row r="1" ht="42" customHeight="1">
      <c r="A1" s="9" t="inlineStr">
        <is>
          <t>Date ordered</t>
        </is>
      </c>
      <c r="B1" s="9" t="inlineStr">
        <is>
          <t>Offer</t>
        </is>
      </c>
      <c r="C1" s="9" t="inlineStr">
        <is>
          <t>Platform</t>
        </is>
      </c>
      <c r="D1" s="9" t="inlineStr">
        <is>
          <t>Customer / order #</t>
        </is>
      </c>
      <c r="E1" s="9" t="inlineStr">
        <is>
          <t>Gross price</t>
        </is>
      </c>
      <c r="F1" s="9" t="inlineStr">
        <is>
          <t>Fee %</t>
        </is>
      </c>
      <c r="G1" s="9" t="inlineStr">
        <is>
          <t>Fee $</t>
        </is>
      </c>
      <c r="H1" s="9" t="inlineStr">
        <is>
          <t>Hours spent</t>
        </is>
      </c>
      <c r="I1" s="9" t="inlineStr">
        <is>
          <t>Delivered on</t>
        </is>
      </c>
      <c r="J1" s="9" t="inlineStr">
        <is>
          <t>Cleared on</t>
        </is>
      </c>
      <c r="K1" s="9" t="inlineStr">
        <is>
          <t>Net received</t>
        </is>
      </c>
      <c r="L1" s="9" t="inlineStr">
        <is>
          <t>Cleared?</t>
        </is>
      </c>
      <c r="M1" s="9" t="inlineStr">
        <is>
          <t>Refunded $</t>
        </is>
      </c>
      <c r="N1" s="9" t="inlineStr">
        <is>
          <t>Net $/hour</t>
        </is>
      </c>
      <c r="O1" s="9" t="inlineStr">
        <is>
          <t>Notes</t>
        </is>
      </c>
    </row>
    <row r="2">
      <c r="A2" s="6" t="n"/>
      <c r="B2" s="10" t="n"/>
      <c r="C2" s="10" t="n"/>
      <c r="D2" s="10" t="n"/>
      <c r="E2" s="3" t="n"/>
      <c r="F2" s="4">
        <f>IF(E2="","",Goal!$B$4)</f>
        <v/>
      </c>
      <c r="G2" s="5">
        <f>IF(E2="","",E2*F2)</f>
        <v/>
      </c>
      <c r="H2" s="10" t="n"/>
      <c r="I2" s="6" t="n"/>
      <c r="J2" s="6" t="n"/>
      <c r="K2" s="5">
        <f>IF(E2="","",E2-G2-N(M2))</f>
        <v/>
      </c>
      <c r="L2" s="10" t="n"/>
      <c r="M2" s="3" t="n"/>
      <c r="N2" s="5">
        <f>IF(OR(E2="",H2="",H2=0),"",K2/H2)</f>
        <v/>
      </c>
      <c r="O2" s="10" t="n"/>
    </row>
    <row r="3">
      <c r="A3" s="6" t="n"/>
      <c r="B3" s="10" t="n"/>
      <c r="C3" s="10" t="n"/>
      <c r="D3" s="10" t="n"/>
      <c r="E3" s="3" t="n"/>
      <c r="F3" s="4">
        <f>IF(E3="","",Goal!$B$4)</f>
        <v/>
      </c>
      <c r="G3" s="5">
        <f>IF(E3="","",E3*F3)</f>
        <v/>
      </c>
      <c r="H3" s="10" t="n"/>
      <c r="I3" s="6" t="n"/>
      <c r="J3" s="6" t="n"/>
      <c r="K3" s="5">
        <f>IF(E3="","",E3-G3-N(M3))</f>
        <v/>
      </c>
      <c r="L3" s="10" t="n"/>
      <c r="M3" s="3" t="n"/>
      <c r="N3" s="5">
        <f>IF(OR(E3="",H3="",H3=0),"",K3/H3)</f>
        <v/>
      </c>
      <c r="O3" s="10" t="n"/>
    </row>
    <row r="4">
      <c r="A4" s="6" t="n"/>
      <c r="B4" s="10" t="n"/>
      <c r="C4" s="10" t="n"/>
      <c r="D4" s="10" t="n"/>
      <c r="E4" s="3" t="n"/>
      <c r="F4" s="4">
        <f>IF(E4="","",Goal!$B$4)</f>
        <v/>
      </c>
      <c r="G4" s="5">
        <f>IF(E4="","",E4*F4)</f>
        <v/>
      </c>
      <c r="H4" s="10" t="n"/>
      <c r="I4" s="6" t="n"/>
      <c r="J4" s="6" t="n"/>
      <c r="K4" s="5">
        <f>IF(E4="","",E4-G4-N(M4))</f>
        <v/>
      </c>
      <c r="L4" s="10" t="n"/>
      <c r="M4" s="3" t="n"/>
      <c r="N4" s="5">
        <f>IF(OR(E4="",H4="",H4=0),"",K4/H4)</f>
        <v/>
      </c>
      <c r="O4" s="10" t="n"/>
    </row>
    <row r="5">
      <c r="A5" s="6" t="n"/>
      <c r="B5" s="10" t="n"/>
      <c r="C5" s="10" t="n"/>
      <c r="D5" s="10" t="n"/>
      <c r="E5" s="3" t="n"/>
      <c r="F5" s="4">
        <f>IF(E5="","",Goal!$B$4)</f>
        <v/>
      </c>
      <c r="G5" s="5">
        <f>IF(E5="","",E5*F5)</f>
        <v/>
      </c>
      <c r="H5" s="10" t="n"/>
      <c r="I5" s="6" t="n"/>
      <c r="J5" s="6" t="n"/>
      <c r="K5" s="5">
        <f>IF(E5="","",E5-G5-N(M5))</f>
        <v/>
      </c>
      <c r="L5" s="10" t="n"/>
      <c r="M5" s="3" t="n"/>
      <c r="N5" s="5">
        <f>IF(OR(E5="",H5="",H5=0),"",K5/H5)</f>
        <v/>
      </c>
      <c r="O5" s="10" t="n"/>
    </row>
    <row r="6">
      <c r="A6" s="6" t="n"/>
      <c r="B6" s="10" t="n"/>
      <c r="C6" s="10" t="n"/>
      <c r="D6" s="10" t="n"/>
      <c r="E6" s="3" t="n"/>
      <c r="F6" s="4">
        <f>IF(E6="","",Goal!$B$4)</f>
        <v/>
      </c>
      <c r="G6" s="5">
        <f>IF(E6="","",E6*F6)</f>
        <v/>
      </c>
      <c r="H6" s="10" t="n"/>
      <c r="I6" s="6" t="n"/>
      <c r="J6" s="6" t="n"/>
      <c r="K6" s="5">
        <f>IF(E6="","",E6-G6-N(M6))</f>
        <v/>
      </c>
      <c r="L6" s="10" t="n"/>
      <c r="M6" s="3" t="n"/>
      <c r="N6" s="5">
        <f>IF(OR(E6="",H6="",H6=0),"",K6/H6)</f>
        <v/>
      </c>
      <c r="O6" s="10" t="n"/>
    </row>
    <row r="7">
      <c r="A7" s="6" t="n"/>
      <c r="B7" s="10" t="n"/>
      <c r="C7" s="10" t="n"/>
      <c r="D7" s="10" t="n"/>
      <c r="E7" s="3" t="n"/>
      <c r="F7" s="4">
        <f>IF(E7="","",Goal!$B$4)</f>
        <v/>
      </c>
      <c r="G7" s="5">
        <f>IF(E7="","",E7*F7)</f>
        <v/>
      </c>
      <c r="H7" s="10" t="n"/>
      <c r="I7" s="6" t="n"/>
      <c r="J7" s="6" t="n"/>
      <c r="K7" s="5">
        <f>IF(E7="","",E7-G7-N(M7))</f>
        <v/>
      </c>
      <c r="L7" s="10" t="n"/>
      <c r="M7" s="3" t="n"/>
      <c r="N7" s="5">
        <f>IF(OR(E7="",H7="",H7=0),"",K7/H7)</f>
        <v/>
      </c>
      <c r="O7" s="10" t="n"/>
    </row>
    <row r="8">
      <c r="A8" s="6" t="n"/>
      <c r="B8" s="10" t="n"/>
      <c r="C8" s="10" t="n"/>
      <c r="D8" s="10" t="n"/>
      <c r="E8" s="3" t="n"/>
      <c r="F8" s="4">
        <f>IF(E8="","",Goal!$B$4)</f>
        <v/>
      </c>
      <c r="G8" s="5">
        <f>IF(E8="","",E8*F8)</f>
        <v/>
      </c>
      <c r="H8" s="10" t="n"/>
      <c r="I8" s="6" t="n"/>
      <c r="J8" s="6" t="n"/>
      <c r="K8" s="5">
        <f>IF(E8="","",E8-G8-N(M8))</f>
        <v/>
      </c>
      <c r="L8" s="10" t="n"/>
      <c r="M8" s="3" t="n"/>
      <c r="N8" s="5">
        <f>IF(OR(E8="",H8="",H8=0),"",K8/H8)</f>
        <v/>
      </c>
      <c r="O8" s="10" t="n"/>
    </row>
    <row r="9">
      <c r="A9" s="6" t="n"/>
      <c r="B9" s="10" t="n"/>
      <c r="C9" s="10" t="n"/>
      <c r="D9" s="10" t="n"/>
      <c r="E9" s="3" t="n"/>
      <c r="F9" s="4">
        <f>IF(E9="","",Goal!$B$4)</f>
        <v/>
      </c>
      <c r="G9" s="5">
        <f>IF(E9="","",E9*F9)</f>
        <v/>
      </c>
      <c r="H9" s="10" t="n"/>
      <c r="I9" s="6" t="n"/>
      <c r="J9" s="6" t="n"/>
      <c r="K9" s="5">
        <f>IF(E9="","",E9-G9-N(M9))</f>
        <v/>
      </c>
      <c r="L9" s="10" t="n"/>
      <c r="M9" s="3" t="n"/>
      <c r="N9" s="5">
        <f>IF(OR(E9="",H9="",H9=0),"",K9/H9)</f>
        <v/>
      </c>
      <c r="O9" s="10" t="n"/>
    </row>
    <row r="10">
      <c r="A10" s="6" t="n"/>
      <c r="B10" s="10" t="n"/>
      <c r="C10" s="10" t="n"/>
      <c r="D10" s="10" t="n"/>
      <c r="E10" s="3" t="n"/>
      <c r="F10" s="4">
        <f>IF(E10="","",Goal!$B$4)</f>
        <v/>
      </c>
      <c r="G10" s="5">
        <f>IF(E10="","",E10*F10)</f>
        <v/>
      </c>
      <c r="H10" s="10" t="n"/>
      <c r="I10" s="6" t="n"/>
      <c r="J10" s="6" t="n"/>
      <c r="K10" s="5">
        <f>IF(E10="","",E10-G10-N(M10))</f>
        <v/>
      </c>
      <c r="L10" s="10" t="n"/>
      <c r="M10" s="3" t="n"/>
      <c r="N10" s="5">
        <f>IF(OR(E10="",H10="",H10=0),"",K10/H10)</f>
        <v/>
      </c>
      <c r="O10" s="10" t="n"/>
    </row>
    <row r="11">
      <c r="A11" s="6" t="n"/>
      <c r="B11" s="10" t="n"/>
      <c r="C11" s="10" t="n"/>
      <c r="D11" s="10" t="n"/>
      <c r="E11" s="3" t="n"/>
      <c r="F11" s="4">
        <f>IF(E11="","",Goal!$B$4)</f>
        <v/>
      </c>
      <c r="G11" s="5">
        <f>IF(E11="","",E11*F11)</f>
        <v/>
      </c>
      <c r="H11" s="10" t="n"/>
      <c r="I11" s="6" t="n"/>
      <c r="J11" s="6" t="n"/>
      <c r="K11" s="5">
        <f>IF(E11="","",E11-G11-N(M11))</f>
        <v/>
      </c>
      <c r="L11" s="10" t="n"/>
      <c r="M11" s="3" t="n"/>
      <c r="N11" s="5">
        <f>IF(OR(E11="",H11="",H11=0),"",K11/H11)</f>
        <v/>
      </c>
      <c r="O11" s="10" t="n"/>
    </row>
    <row r="12">
      <c r="A12" s="6" t="n"/>
      <c r="B12" s="10" t="n"/>
      <c r="C12" s="10" t="n"/>
      <c r="D12" s="10" t="n"/>
      <c r="E12" s="3" t="n"/>
      <c r="F12" s="4">
        <f>IF(E12="","",Goal!$B$4)</f>
        <v/>
      </c>
      <c r="G12" s="5">
        <f>IF(E12="","",E12*F12)</f>
        <v/>
      </c>
      <c r="H12" s="10" t="n"/>
      <c r="I12" s="6" t="n"/>
      <c r="J12" s="6" t="n"/>
      <c r="K12" s="5">
        <f>IF(E12="","",E12-G12-N(M12))</f>
        <v/>
      </c>
      <c r="L12" s="10" t="n"/>
      <c r="M12" s="3" t="n"/>
      <c r="N12" s="5">
        <f>IF(OR(E12="",H12="",H12=0),"",K12/H12)</f>
        <v/>
      </c>
      <c r="O12" s="10" t="n"/>
    </row>
    <row r="13">
      <c r="A13" s="6" t="n"/>
      <c r="B13" s="10" t="n"/>
      <c r="C13" s="10" t="n"/>
      <c r="D13" s="10" t="n"/>
      <c r="E13" s="3" t="n"/>
      <c r="F13" s="4">
        <f>IF(E13="","",Goal!$B$4)</f>
        <v/>
      </c>
      <c r="G13" s="5">
        <f>IF(E13="","",E13*F13)</f>
        <v/>
      </c>
      <c r="H13" s="10" t="n"/>
      <c r="I13" s="6" t="n"/>
      <c r="J13" s="6" t="n"/>
      <c r="K13" s="5">
        <f>IF(E13="","",E13-G13-N(M13))</f>
        <v/>
      </c>
      <c r="L13" s="10" t="n"/>
      <c r="M13" s="3" t="n"/>
      <c r="N13" s="5">
        <f>IF(OR(E13="",H13="",H13=0),"",K13/H13)</f>
        <v/>
      </c>
      <c r="O13" s="10" t="n"/>
    </row>
    <row r="14">
      <c r="A14" s="6" t="n"/>
      <c r="B14" s="10" t="n"/>
      <c r="C14" s="10" t="n"/>
      <c r="D14" s="10" t="n"/>
      <c r="E14" s="3" t="n"/>
      <c r="F14" s="4">
        <f>IF(E14="","",Goal!$B$4)</f>
        <v/>
      </c>
      <c r="G14" s="5">
        <f>IF(E14="","",E14*F14)</f>
        <v/>
      </c>
      <c r="H14" s="10" t="n"/>
      <c r="I14" s="6" t="n"/>
      <c r="J14" s="6" t="n"/>
      <c r="K14" s="5">
        <f>IF(E14="","",E14-G14-N(M14))</f>
        <v/>
      </c>
      <c r="L14" s="10" t="n"/>
      <c r="M14" s="3" t="n"/>
      <c r="N14" s="5">
        <f>IF(OR(E14="",H14="",H14=0),"",K14/H14)</f>
        <v/>
      </c>
      <c r="O14" s="10" t="n"/>
    </row>
    <row r="15">
      <c r="A15" s="6" t="n"/>
      <c r="B15" s="10" t="n"/>
      <c r="C15" s="10" t="n"/>
      <c r="D15" s="10" t="n"/>
      <c r="E15" s="3" t="n"/>
      <c r="F15" s="4">
        <f>IF(E15="","",Goal!$B$4)</f>
        <v/>
      </c>
      <c r="G15" s="5">
        <f>IF(E15="","",E15*F15)</f>
        <v/>
      </c>
      <c r="H15" s="10" t="n"/>
      <c r="I15" s="6" t="n"/>
      <c r="J15" s="6" t="n"/>
      <c r="K15" s="5">
        <f>IF(E15="","",E15-G15-N(M15))</f>
        <v/>
      </c>
      <c r="L15" s="10" t="n"/>
      <c r="M15" s="3" t="n"/>
      <c r="N15" s="5">
        <f>IF(OR(E15="",H15="",H15=0),"",K15/H15)</f>
        <v/>
      </c>
      <c r="O15" s="10" t="n"/>
    </row>
    <row r="16">
      <c r="A16" s="6" t="n"/>
      <c r="B16" s="10" t="n"/>
      <c r="C16" s="10" t="n"/>
      <c r="D16" s="10" t="n"/>
      <c r="E16" s="3" t="n"/>
      <c r="F16" s="4">
        <f>IF(E16="","",Goal!$B$4)</f>
        <v/>
      </c>
      <c r="G16" s="5">
        <f>IF(E16="","",E16*F16)</f>
        <v/>
      </c>
      <c r="H16" s="10" t="n"/>
      <c r="I16" s="6" t="n"/>
      <c r="J16" s="6" t="n"/>
      <c r="K16" s="5">
        <f>IF(E16="","",E16-G16-N(M16))</f>
        <v/>
      </c>
      <c r="L16" s="10" t="n"/>
      <c r="M16" s="3" t="n"/>
      <c r="N16" s="5">
        <f>IF(OR(E16="",H16="",H16=0),"",K16/H16)</f>
        <v/>
      </c>
      <c r="O16" s="10" t="n"/>
    </row>
    <row r="17">
      <c r="A17" s="6" t="n"/>
      <c r="B17" s="10" t="n"/>
      <c r="C17" s="10" t="n"/>
      <c r="D17" s="10" t="n"/>
      <c r="E17" s="3" t="n"/>
      <c r="F17" s="4">
        <f>IF(E17="","",Goal!$B$4)</f>
        <v/>
      </c>
      <c r="G17" s="5">
        <f>IF(E17="","",E17*F17)</f>
        <v/>
      </c>
      <c r="H17" s="10" t="n"/>
      <c r="I17" s="6" t="n"/>
      <c r="J17" s="6" t="n"/>
      <c r="K17" s="5">
        <f>IF(E17="","",E17-G17-N(M17))</f>
        <v/>
      </c>
      <c r="L17" s="10" t="n"/>
      <c r="M17" s="3" t="n"/>
      <c r="N17" s="5">
        <f>IF(OR(E17="",H17="",H17=0),"",K17/H17)</f>
        <v/>
      </c>
      <c r="O17" s="10" t="n"/>
    </row>
    <row r="18">
      <c r="A18" s="6" t="n"/>
      <c r="B18" s="10" t="n"/>
      <c r="C18" s="10" t="n"/>
      <c r="D18" s="10" t="n"/>
      <c r="E18" s="3" t="n"/>
      <c r="F18" s="4">
        <f>IF(E18="","",Goal!$B$4)</f>
        <v/>
      </c>
      <c r="G18" s="5">
        <f>IF(E18="","",E18*F18)</f>
        <v/>
      </c>
      <c r="H18" s="10" t="n"/>
      <c r="I18" s="6" t="n"/>
      <c r="J18" s="6" t="n"/>
      <c r="K18" s="5">
        <f>IF(E18="","",E18-G18-N(M18))</f>
        <v/>
      </c>
      <c r="L18" s="10" t="n"/>
      <c r="M18" s="3" t="n"/>
      <c r="N18" s="5">
        <f>IF(OR(E18="",H18="",H18=0),"",K18/H18)</f>
        <v/>
      </c>
      <c r="O18" s="10" t="n"/>
    </row>
    <row r="19">
      <c r="A19" s="6" t="n"/>
      <c r="B19" s="10" t="n"/>
      <c r="C19" s="10" t="n"/>
      <c r="D19" s="10" t="n"/>
      <c r="E19" s="3" t="n"/>
      <c r="F19" s="4">
        <f>IF(E19="","",Goal!$B$4)</f>
        <v/>
      </c>
      <c r="G19" s="5">
        <f>IF(E19="","",E19*F19)</f>
        <v/>
      </c>
      <c r="H19" s="10" t="n"/>
      <c r="I19" s="6" t="n"/>
      <c r="J19" s="6" t="n"/>
      <c r="K19" s="5">
        <f>IF(E19="","",E19-G19-N(M19))</f>
        <v/>
      </c>
      <c r="L19" s="10" t="n"/>
      <c r="M19" s="3" t="n"/>
      <c r="N19" s="5">
        <f>IF(OR(E19="",H19="",H19=0),"",K19/H19)</f>
        <v/>
      </c>
      <c r="O19" s="10" t="n"/>
    </row>
    <row r="20">
      <c r="A20" s="6" t="n"/>
      <c r="B20" s="10" t="n"/>
      <c r="C20" s="10" t="n"/>
      <c r="D20" s="10" t="n"/>
      <c r="E20" s="3" t="n"/>
      <c r="F20" s="4">
        <f>IF(E20="","",Goal!$B$4)</f>
        <v/>
      </c>
      <c r="G20" s="5">
        <f>IF(E20="","",E20*F20)</f>
        <v/>
      </c>
      <c r="H20" s="10" t="n"/>
      <c r="I20" s="6" t="n"/>
      <c r="J20" s="6" t="n"/>
      <c r="K20" s="5">
        <f>IF(E20="","",E20-G20-N(M20))</f>
        <v/>
      </c>
      <c r="L20" s="10" t="n"/>
      <c r="M20" s="3" t="n"/>
      <c r="N20" s="5">
        <f>IF(OR(E20="",H20="",H20=0),"",K20/H20)</f>
        <v/>
      </c>
      <c r="O20" s="10" t="n"/>
    </row>
    <row r="21">
      <c r="A21" s="6" t="n"/>
      <c r="B21" s="10" t="n"/>
      <c r="C21" s="10" t="n"/>
      <c r="D21" s="10" t="n"/>
      <c r="E21" s="3" t="n"/>
      <c r="F21" s="4">
        <f>IF(E21="","",Goal!$B$4)</f>
        <v/>
      </c>
      <c r="G21" s="5">
        <f>IF(E21="","",E21*F21)</f>
        <v/>
      </c>
      <c r="H21" s="10" t="n"/>
      <c r="I21" s="6" t="n"/>
      <c r="J21" s="6" t="n"/>
      <c r="K21" s="5">
        <f>IF(E21="","",E21-G21-N(M21))</f>
        <v/>
      </c>
      <c r="L21" s="10" t="n"/>
      <c r="M21" s="3" t="n"/>
      <c r="N21" s="5">
        <f>IF(OR(E21="",H21="",H21=0),"",K21/H21)</f>
        <v/>
      </c>
      <c r="O21" s="10" t="n"/>
    </row>
    <row r="22">
      <c r="A22" s="6" t="n"/>
      <c r="B22" s="10" t="n"/>
      <c r="C22" s="10" t="n"/>
      <c r="D22" s="10" t="n"/>
      <c r="E22" s="3" t="n"/>
      <c r="F22" s="4">
        <f>IF(E22="","",Goal!$B$4)</f>
        <v/>
      </c>
      <c r="G22" s="5">
        <f>IF(E22="","",E22*F22)</f>
        <v/>
      </c>
      <c r="H22" s="10" t="n"/>
      <c r="I22" s="6" t="n"/>
      <c r="J22" s="6" t="n"/>
      <c r="K22" s="5">
        <f>IF(E22="","",E22-G22-N(M22))</f>
        <v/>
      </c>
      <c r="L22" s="10" t="n"/>
      <c r="M22" s="3" t="n"/>
      <c r="N22" s="5">
        <f>IF(OR(E22="",H22="",H22=0),"",K22/H22)</f>
        <v/>
      </c>
      <c r="O22" s="10" t="n"/>
    </row>
    <row r="23">
      <c r="A23" s="6" t="n"/>
      <c r="B23" s="10" t="n"/>
      <c r="C23" s="10" t="n"/>
      <c r="D23" s="10" t="n"/>
      <c r="E23" s="3" t="n"/>
      <c r="F23" s="4">
        <f>IF(E23="","",Goal!$B$4)</f>
        <v/>
      </c>
      <c r="G23" s="5">
        <f>IF(E23="","",E23*F23)</f>
        <v/>
      </c>
      <c r="H23" s="10" t="n"/>
      <c r="I23" s="6" t="n"/>
      <c r="J23" s="6" t="n"/>
      <c r="K23" s="5">
        <f>IF(E23="","",E23-G23-N(M23))</f>
        <v/>
      </c>
      <c r="L23" s="10" t="n"/>
      <c r="M23" s="3" t="n"/>
      <c r="N23" s="5">
        <f>IF(OR(E23="",H23="",H23=0),"",K23/H23)</f>
        <v/>
      </c>
      <c r="O23" s="10" t="n"/>
    </row>
    <row r="24">
      <c r="A24" s="6" t="n"/>
      <c r="B24" s="10" t="n"/>
      <c r="C24" s="10" t="n"/>
      <c r="D24" s="10" t="n"/>
      <c r="E24" s="3" t="n"/>
      <c r="F24" s="4">
        <f>IF(E24="","",Goal!$B$4)</f>
        <v/>
      </c>
      <c r="G24" s="5">
        <f>IF(E24="","",E24*F24)</f>
        <v/>
      </c>
      <c r="H24" s="10" t="n"/>
      <c r="I24" s="6" t="n"/>
      <c r="J24" s="6" t="n"/>
      <c r="K24" s="5">
        <f>IF(E24="","",E24-G24-N(M24))</f>
        <v/>
      </c>
      <c r="L24" s="10" t="n"/>
      <c r="M24" s="3" t="n"/>
      <c r="N24" s="5">
        <f>IF(OR(E24="",H24="",H24=0),"",K24/H24)</f>
        <v/>
      </c>
      <c r="O24" s="10" t="n"/>
    </row>
    <row r="25">
      <c r="A25" s="6" t="n"/>
      <c r="B25" s="10" t="n"/>
      <c r="C25" s="10" t="n"/>
      <c r="D25" s="10" t="n"/>
      <c r="E25" s="3" t="n"/>
      <c r="F25" s="4">
        <f>IF(E25="","",Goal!$B$4)</f>
        <v/>
      </c>
      <c r="G25" s="5">
        <f>IF(E25="","",E25*F25)</f>
        <v/>
      </c>
      <c r="H25" s="10" t="n"/>
      <c r="I25" s="6" t="n"/>
      <c r="J25" s="6" t="n"/>
      <c r="K25" s="5">
        <f>IF(E25="","",E25-G25-N(M25))</f>
        <v/>
      </c>
      <c r="L25" s="10" t="n"/>
      <c r="M25" s="3" t="n"/>
      <c r="N25" s="5">
        <f>IF(OR(E25="",H25="",H25=0),"",K25/H25)</f>
        <v/>
      </c>
      <c r="O25" s="10" t="n"/>
    </row>
    <row r="26">
      <c r="A26" s="6" t="n"/>
      <c r="B26" s="10" t="n"/>
      <c r="C26" s="10" t="n"/>
      <c r="D26" s="10" t="n"/>
      <c r="E26" s="3" t="n"/>
      <c r="F26" s="4">
        <f>IF(E26="","",Goal!$B$4)</f>
        <v/>
      </c>
      <c r="G26" s="5">
        <f>IF(E26="","",E26*F26)</f>
        <v/>
      </c>
      <c r="H26" s="10" t="n"/>
      <c r="I26" s="6" t="n"/>
      <c r="J26" s="6" t="n"/>
      <c r="K26" s="5">
        <f>IF(E26="","",E26-G26-N(M26))</f>
        <v/>
      </c>
      <c r="L26" s="10" t="n"/>
      <c r="M26" s="3" t="n"/>
      <c r="N26" s="5">
        <f>IF(OR(E26="",H26="",H26=0),"",K26/H26)</f>
        <v/>
      </c>
      <c r="O26" s="10" t="n"/>
    </row>
    <row r="27">
      <c r="A27" s="6" t="n"/>
      <c r="B27" s="10" t="n"/>
      <c r="C27" s="10" t="n"/>
      <c r="D27" s="10" t="n"/>
      <c r="E27" s="3" t="n"/>
      <c r="F27" s="4">
        <f>IF(E27="","",Goal!$B$4)</f>
        <v/>
      </c>
      <c r="G27" s="5">
        <f>IF(E27="","",E27*F27)</f>
        <v/>
      </c>
      <c r="H27" s="10" t="n"/>
      <c r="I27" s="6" t="n"/>
      <c r="J27" s="6" t="n"/>
      <c r="K27" s="5">
        <f>IF(E27="","",E27-G27-N(M27))</f>
        <v/>
      </c>
      <c r="L27" s="10" t="n"/>
      <c r="M27" s="3" t="n"/>
      <c r="N27" s="5">
        <f>IF(OR(E27="",H27="",H27=0),"",K27/H27)</f>
        <v/>
      </c>
      <c r="O27" s="10" t="n"/>
    </row>
    <row r="28">
      <c r="A28" s="6" t="n"/>
      <c r="B28" s="10" t="n"/>
      <c r="C28" s="10" t="n"/>
      <c r="D28" s="10" t="n"/>
      <c r="E28" s="3" t="n"/>
      <c r="F28" s="4">
        <f>IF(E28="","",Goal!$B$4)</f>
        <v/>
      </c>
      <c r="G28" s="5">
        <f>IF(E28="","",E28*F28)</f>
        <v/>
      </c>
      <c r="H28" s="10" t="n"/>
      <c r="I28" s="6" t="n"/>
      <c r="J28" s="6" t="n"/>
      <c r="K28" s="5">
        <f>IF(E28="","",E28-G28-N(M28))</f>
        <v/>
      </c>
      <c r="L28" s="10" t="n"/>
      <c r="M28" s="3" t="n"/>
      <c r="N28" s="5">
        <f>IF(OR(E28="",H28="",H28=0),"",K28/H28)</f>
        <v/>
      </c>
      <c r="O28" s="10" t="n"/>
    </row>
    <row r="29">
      <c r="A29" s="6" t="n"/>
      <c r="B29" s="10" t="n"/>
      <c r="C29" s="10" t="n"/>
      <c r="D29" s="10" t="n"/>
      <c r="E29" s="3" t="n"/>
      <c r="F29" s="4">
        <f>IF(E29="","",Goal!$B$4)</f>
        <v/>
      </c>
      <c r="G29" s="5">
        <f>IF(E29="","",E29*F29)</f>
        <v/>
      </c>
      <c r="H29" s="10" t="n"/>
      <c r="I29" s="6" t="n"/>
      <c r="J29" s="6" t="n"/>
      <c r="K29" s="5">
        <f>IF(E29="","",E29-G29-N(M29))</f>
        <v/>
      </c>
      <c r="L29" s="10" t="n"/>
      <c r="M29" s="3" t="n"/>
      <c r="N29" s="5">
        <f>IF(OR(E29="",H29="",H29=0),"",K29/H29)</f>
        <v/>
      </c>
      <c r="O29" s="10" t="n"/>
    </row>
    <row r="30">
      <c r="A30" s="6" t="n"/>
      <c r="B30" s="10" t="n"/>
      <c r="C30" s="10" t="n"/>
      <c r="D30" s="10" t="n"/>
      <c r="E30" s="3" t="n"/>
      <c r="F30" s="4">
        <f>IF(E30="","",Goal!$B$4)</f>
        <v/>
      </c>
      <c r="G30" s="5">
        <f>IF(E30="","",E30*F30)</f>
        <v/>
      </c>
      <c r="H30" s="10" t="n"/>
      <c r="I30" s="6" t="n"/>
      <c r="J30" s="6" t="n"/>
      <c r="K30" s="5">
        <f>IF(E30="","",E30-G30-N(M30))</f>
        <v/>
      </c>
      <c r="L30" s="10" t="n"/>
      <c r="M30" s="3" t="n"/>
      <c r="N30" s="5">
        <f>IF(OR(E30="",H30="",H30=0),"",K30/H30)</f>
        <v/>
      </c>
      <c r="O30" s="10" t="n"/>
    </row>
    <row r="31">
      <c r="A31" s="6" t="n"/>
      <c r="B31" s="10" t="n"/>
      <c r="C31" s="10" t="n"/>
      <c r="D31" s="10" t="n"/>
      <c r="E31" s="3" t="n"/>
      <c r="F31" s="4">
        <f>IF(E31="","",Goal!$B$4)</f>
        <v/>
      </c>
      <c r="G31" s="5">
        <f>IF(E31="","",E31*F31)</f>
        <v/>
      </c>
      <c r="H31" s="10" t="n"/>
      <c r="I31" s="6" t="n"/>
      <c r="J31" s="6" t="n"/>
      <c r="K31" s="5">
        <f>IF(E31="","",E31-G31-N(M31))</f>
        <v/>
      </c>
      <c r="L31" s="10" t="n"/>
      <c r="M31" s="3" t="n"/>
      <c r="N31" s="5">
        <f>IF(OR(E31="",H31="",H31=0),"",K31/H31)</f>
        <v/>
      </c>
      <c r="O31" s="10" t="n"/>
    </row>
    <row r="32">
      <c r="A32" s="6" t="n"/>
      <c r="B32" s="10" t="n"/>
      <c r="C32" s="10" t="n"/>
      <c r="D32" s="10" t="n"/>
      <c r="E32" s="3" t="n"/>
      <c r="F32" s="4">
        <f>IF(E32="","",Goal!$B$4)</f>
        <v/>
      </c>
      <c r="G32" s="5">
        <f>IF(E32="","",E32*F32)</f>
        <v/>
      </c>
      <c r="H32" s="10" t="n"/>
      <c r="I32" s="6" t="n"/>
      <c r="J32" s="6" t="n"/>
      <c r="K32" s="5">
        <f>IF(E32="","",E32-G32-N(M32))</f>
        <v/>
      </c>
      <c r="L32" s="10" t="n"/>
      <c r="M32" s="3" t="n"/>
      <c r="N32" s="5">
        <f>IF(OR(E32="",H32="",H32=0),"",K32/H32)</f>
        <v/>
      </c>
      <c r="O32" s="10" t="n"/>
    </row>
    <row r="33">
      <c r="A33" s="6" t="n"/>
      <c r="B33" s="10" t="n"/>
      <c r="C33" s="10" t="n"/>
      <c r="D33" s="10" t="n"/>
      <c r="E33" s="3" t="n"/>
      <c r="F33" s="4">
        <f>IF(E33="","",Goal!$B$4)</f>
        <v/>
      </c>
      <c r="G33" s="5">
        <f>IF(E33="","",E33*F33)</f>
        <v/>
      </c>
      <c r="H33" s="10" t="n"/>
      <c r="I33" s="6" t="n"/>
      <c r="J33" s="6" t="n"/>
      <c r="K33" s="5">
        <f>IF(E33="","",E33-G33-N(M33))</f>
        <v/>
      </c>
      <c r="L33" s="10" t="n"/>
      <c r="M33" s="3" t="n"/>
      <c r="N33" s="5">
        <f>IF(OR(E33="",H33="",H33=0),"",K33/H33)</f>
        <v/>
      </c>
      <c r="O33" s="10" t="n"/>
    </row>
    <row r="34">
      <c r="A34" s="6" t="n"/>
      <c r="B34" s="10" t="n"/>
      <c r="C34" s="10" t="n"/>
      <c r="D34" s="10" t="n"/>
      <c r="E34" s="3" t="n"/>
      <c r="F34" s="4">
        <f>IF(E34="","",Goal!$B$4)</f>
        <v/>
      </c>
      <c r="G34" s="5">
        <f>IF(E34="","",E34*F34)</f>
        <v/>
      </c>
      <c r="H34" s="10" t="n"/>
      <c r="I34" s="6" t="n"/>
      <c r="J34" s="6" t="n"/>
      <c r="K34" s="5">
        <f>IF(E34="","",E34-G34-N(M34))</f>
        <v/>
      </c>
      <c r="L34" s="10" t="n"/>
      <c r="M34" s="3" t="n"/>
      <c r="N34" s="5">
        <f>IF(OR(E34="",H34="",H34=0),"",K34/H34)</f>
        <v/>
      </c>
      <c r="O34" s="10" t="n"/>
    </row>
    <row r="35">
      <c r="A35" s="6" t="n"/>
      <c r="B35" s="10" t="n"/>
      <c r="C35" s="10" t="n"/>
      <c r="D35" s="10" t="n"/>
      <c r="E35" s="3" t="n"/>
      <c r="F35" s="4">
        <f>IF(E35="","",Goal!$B$4)</f>
        <v/>
      </c>
      <c r="G35" s="5">
        <f>IF(E35="","",E35*F35)</f>
        <v/>
      </c>
      <c r="H35" s="10" t="n"/>
      <c r="I35" s="6" t="n"/>
      <c r="J35" s="6" t="n"/>
      <c r="K35" s="5">
        <f>IF(E35="","",E35-G35-N(M35))</f>
        <v/>
      </c>
      <c r="L35" s="10" t="n"/>
      <c r="M35" s="3" t="n"/>
      <c r="N35" s="5">
        <f>IF(OR(E35="",H35="",H35=0),"",K35/H35)</f>
        <v/>
      </c>
      <c r="O35" s="10" t="n"/>
    </row>
    <row r="36">
      <c r="A36" s="6" t="n"/>
      <c r="B36" s="10" t="n"/>
      <c r="C36" s="10" t="n"/>
      <c r="D36" s="10" t="n"/>
      <c r="E36" s="3" t="n"/>
      <c r="F36" s="4">
        <f>IF(E36="","",Goal!$B$4)</f>
        <v/>
      </c>
      <c r="G36" s="5">
        <f>IF(E36="","",E36*F36)</f>
        <v/>
      </c>
      <c r="H36" s="10" t="n"/>
      <c r="I36" s="6" t="n"/>
      <c r="J36" s="6" t="n"/>
      <c r="K36" s="5">
        <f>IF(E36="","",E36-G36-N(M36))</f>
        <v/>
      </c>
      <c r="L36" s="10" t="n"/>
      <c r="M36" s="3" t="n"/>
      <c r="N36" s="5">
        <f>IF(OR(E36="",H36="",H36=0),"",K36/H36)</f>
        <v/>
      </c>
      <c r="O36" s="10" t="n"/>
    </row>
    <row r="37">
      <c r="A37" s="6" t="n"/>
      <c r="B37" s="10" t="n"/>
      <c r="C37" s="10" t="n"/>
      <c r="D37" s="10" t="n"/>
      <c r="E37" s="3" t="n"/>
      <c r="F37" s="4">
        <f>IF(E37="","",Goal!$B$4)</f>
        <v/>
      </c>
      <c r="G37" s="5">
        <f>IF(E37="","",E37*F37)</f>
        <v/>
      </c>
      <c r="H37" s="10" t="n"/>
      <c r="I37" s="6" t="n"/>
      <c r="J37" s="6" t="n"/>
      <c r="K37" s="5">
        <f>IF(E37="","",E37-G37-N(M37))</f>
        <v/>
      </c>
      <c r="L37" s="10" t="n"/>
      <c r="M37" s="3" t="n"/>
      <c r="N37" s="5">
        <f>IF(OR(E37="",H37="",H37=0),"",K37/H37)</f>
        <v/>
      </c>
      <c r="O37" s="10" t="n"/>
    </row>
    <row r="38">
      <c r="A38" s="6" t="n"/>
      <c r="B38" s="10" t="n"/>
      <c r="C38" s="10" t="n"/>
      <c r="D38" s="10" t="n"/>
      <c r="E38" s="3" t="n"/>
      <c r="F38" s="4">
        <f>IF(E38="","",Goal!$B$4)</f>
        <v/>
      </c>
      <c r="G38" s="5">
        <f>IF(E38="","",E38*F38)</f>
        <v/>
      </c>
      <c r="H38" s="10" t="n"/>
      <c r="I38" s="6" t="n"/>
      <c r="J38" s="6" t="n"/>
      <c r="K38" s="5">
        <f>IF(E38="","",E38-G38-N(M38))</f>
        <v/>
      </c>
      <c r="L38" s="10" t="n"/>
      <c r="M38" s="3" t="n"/>
      <c r="N38" s="5">
        <f>IF(OR(E38="",H38="",H38=0),"",K38/H38)</f>
        <v/>
      </c>
      <c r="O38" s="10" t="n"/>
    </row>
    <row r="39">
      <c r="A39" s="6" t="n"/>
      <c r="B39" s="10" t="n"/>
      <c r="C39" s="10" t="n"/>
      <c r="D39" s="10" t="n"/>
      <c r="E39" s="3" t="n"/>
      <c r="F39" s="4">
        <f>IF(E39="","",Goal!$B$4)</f>
        <v/>
      </c>
      <c r="G39" s="5">
        <f>IF(E39="","",E39*F39)</f>
        <v/>
      </c>
      <c r="H39" s="10" t="n"/>
      <c r="I39" s="6" t="n"/>
      <c r="J39" s="6" t="n"/>
      <c r="K39" s="5">
        <f>IF(E39="","",E39-G39-N(M39))</f>
        <v/>
      </c>
      <c r="L39" s="10" t="n"/>
      <c r="M39" s="3" t="n"/>
      <c r="N39" s="5">
        <f>IF(OR(E39="",H39="",H39=0),"",K39/H39)</f>
        <v/>
      </c>
      <c r="O39" s="10" t="n"/>
    </row>
    <row r="40">
      <c r="A40" s="6" t="n"/>
      <c r="B40" s="10" t="n"/>
      <c r="C40" s="10" t="n"/>
      <c r="D40" s="10" t="n"/>
      <c r="E40" s="3" t="n"/>
      <c r="F40" s="4">
        <f>IF(E40="","",Goal!$B$4)</f>
        <v/>
      </c>
      <c r="G40" s="5">
        <f>IF(E40="","",E40*F40)</f>
        <v/>
      </c>
      <c r="H40" s="10" t="n"/>
      <c r="I40" s="6" t="n"/>
      <c r="J40" s="6" t="n"/>
      <c r="K40" s="5">
        <f>IF(E40="","",E40-G40-N(M40))</f>
        <v/>
      </c>
      <c r="L40" s="10" t="n"/>
      <c r="M40" s="3" t="n"/>
      <c r="N40" s="5">
        <f>IF(OR(E40="",H40="",H40=0),"",K40/H40)</f>
        <v/>
      </c>
      <c r="O40" s="10" t="n"/>
    </row>
    <row r="41">
      <c r="A41" s="6" t="n"/>
      <c r="B41" s="10" t="n"/>
      <c r="C41" s="10" t="n"/>
      <c r="D41" s="10" t="n"/>
      <c r="E41" s="3" t="n"/>
      <c r="F41" s="4">
        <f>IF(E41="","",Goal!$B$4)</f>
        <v/>
      </c>
      <c r="G41" s="5">
        <f>IF(E41="","",E41*F41)</f>
        <v/>
      </c>
      <c r="H41" s="10" t="n"/>
      <c r="I41" s="6" t="n"/>
      <c r="J41" s="6" t="n"/>
      <c r="K41" s="5">
        <f>IF(E41="","",E41-G41-N(M41))</f>
        <v/>
      </c>
      <c r="L41" s="10" t="n"/>
      <c r="M41" s="3" t="n"/>
      <c r="N41" s="5">
        <f>IF(OR(E41="",H41="",H41=0),"",K41/H41)</f>
        <v/>
      </c>
      <c r="O41" s="10" t="n"/>
    </row>
    <row r="42">
      <c r="A42" s="6" t="n"/>
      <c r="B42" s="10" t="n"/>
      <c r="C42" s="10" t="n"/>
      <c r="D42" s="10" t="n"/>
      <c r="E42" s="3" t="n"/>
      <c r="F42" s="4">
        <f>IF(E42="","",Goal!$B$4)</f>
        <v/>
      </c>
      <c r="G42" s="5">
        <f>IF(E42="","",E42*F42)</f>
        <v/>
      </c>
      <c r="H42" s="10" t="n"/>
      <c r="I42" s="6" t="n"/>
      <c r="J42" s="6" t="n"/>
      <c r="K42" s="5">
        <f>IF(E42="","",E42-G42-N(M42))</f>
        <v/>
      </c>
      <c r="L42" s="10" t="n"/>
      <c r="M42" s="3" t="n"/>
      <c r="N42" s="5">
        <f>IF(OR(E42="",H42="",H42=0),"",K42/H42)</f>
        <v/>
      </c>
      <c r="O42" s="10" t="n"/>
    </row>
    <row r="43">
      <c r="A43" s="6" t="n"/>
      <c r="B43" s="10" t="n"/>
      <c r="C43" s="10" t="n"/>
      <c r="D43" s="10" t="n"/>
      <c r="E43" s="3" t="n"/>
      <c r="F43" s="4">
        <f>IF(E43="","",Goal!$B$4)</f>
        <v/>
      </c>
      <c r="G43" s="5">
        <f>IF(E43="","",E43*F43)</f>
        <v/>
      </c>
      <c r="H43" s="10" t="n"/>
      <c r="I43" s="6" t="n"/>
      <c r="J43" s="6" t="n"/>
      <c r="K43" s="5">
        <f>IF(E43="","",E43-G43-N(M43))</f>
        <v/>
      </c>
      <c r="L43" s="10" t="n"/>
      <c r="M43" s="3" t="n"/>
      <c r="N43" s="5">
        <f>IF(OR(E43="",H43="",H43=0),"",K43/H43)</f>
        <v/>
      </c>
      <c r="O43" s="10" t="n"/>
    </row>
    <row r="44">
      <c r="A44" s="6" t="n"/>
      <c r="B44" s="10" t="n"/>
      <c r="C44" s="10" t="n"/>
      <c r="D44" s="10" t="n"/>
      <c r="E44" s="3" t="n"/>
      <c r="F44" s="4">
        <f>IF(E44="","",Goal!$B$4)</f>
        <v/>
      </c>
      <c r="G44" s="5">
        <f>IF(E44="","",E44*F44)</f>
        <v/>
      </c>
      <c r="H44" s="10" t="n"/>
      <c r="I44" s="6" t="n"/>
      <c r="J44" s="6" t="n"/>
      <c r="K44" s="5">
        <f>IF(E44="","",E44-G44-N(M44))</f>
        <v/>
      </c>
      <c r="L44" s="10" t="n"/>
      <c r="M44" s="3" t="n"/>
      <c r="N44" s="5">
        <f>IF(OR(E44="",H44="",H44=0),"",K44/H44)</f>
        <v/>
      </c>
      <c r="O44" s="10" t="n"/>
    </row>
    <row r="45">
      <c r="A45" s="6" t="n"/>
      <c r="B45" s="10" t="n"/>
      <c r="C45" s="10" t="n"/>
      <c r="D45" s="10" t="n"/>
      <c r="E45" s="3" t="n"/>
      <c r="F45" s="4">
        <f>IF(E45="","",Goal!$B$4)</f>
        <v/>
      </c>
      <c r="G45" s="5">
        <f>IF(E45="","",E45*F45)</f>
        <v/>
      </c>
      <c r="H45" s="10" t="n"/>
      <c r="I45" s="6" t="n"/>
      <c r="J45" s="6" t="n"/>
      <c r="K45" s="5">
        <f>IF(E45="","",E45-G45-N(M45))</f>
        <v/>
      </c>
      <c r="L45" s="10" t="n"/>
      <c r="M45" s="3" t="n"/>
      <c r="N45" s="5">
        <f>IF(OR(E45="",H45="",H45=0),"",K45/H45)</f>
        <v/>
      </c>
      <c r="O45" s="10" t="n"/>
    </row>
    <row r="46">
      <c r="A46" s="6" t="n"/>
      <c r="B46" s="10" t="n"/>
      <c r="C46" s="10" t="n"/>
      <c r="D46" s="10" t="n"/>
      <c r="E46" s="3" t="n"/>
      <c r="F46" s="4">
        <f>IF(E46="","",Goal!$B$4)</f>
        <v/>
      </c>
      <c r="G46" s="5">
        <f>IF(E46="","",E46*F46)</f>
        <v/>
      </c>
      <c r="H46" s="10" t="n"/>
      <c r="I46" s="6" t="n"/>
      <c r="J46" s="6" t="n"/>
      <c r="K46" s="5">
        <f>IF(E46="","",E46-G46-N(M46))</f>
        <v/>
      </c>
      <c r="L46" s="10" t="n"/>
      <c r="M46" s="3" t="n"/>
      <c r="N46" s="5">
        <f>IF(OR(E46="",H46="",H46=0),"",K46/H46)</f>
        <v/>
      </c>
      <c r="O46" s="10" t="n"/>
    </row>
    <row r="47">
      <c r="A47" s="6" t="n"/>
      <c r="B47" s="10" t="n"/>
      <c r="C47" s="10" t="n"/>
      <c r="D47" s="10" t="n"/>
      <c r="E47" s="3" t="n"/>
      <c r="F47" s="4">
        <f>IF(E47="","",Goal!$B$4)</f>
        <v/>
      </c>
      <c r="G47" s="5">
        <f>IF(E47="","",E47*F47)</f>
        <v/>
      </c>
      <c r="H47" s="10" t="n"/>
      <c r="I47" s="6" t="n"/>
      <c r="J47" s="6" t="n"/>
      <c r="K47" s="5">
        <f>IF(E47="","",E47-G47-N(M47))</f>
        <v/>
      </c>
      <c r="L47" s="10" t="n"/>
      <c r="M47" s="3" t="n"/>
      <c r="N47" s="5">
        <f>IF(OR(E47="",H47="",H47=0),"",K47/H47)</f>
        <v/>
      </c>
      <c r="O47" s="10" t="n"/>
    </row>
    <row r="48">
      <c r="A48" s="6" t="n"/>
      <c r="B48" s="10" t="n"/>
      <c r="C48" s="10" t="n"/>
      <c r="D48" s="10" t="n"/>
      <c r="E48" s="3" t="n"/>
      <c r="F48" s="4">
        <f>IF(E48="","",Goal!$B$4)</f>
        <v/>
      </c>
      <c r="G48" s="5">
        <f>IF(E48="","",E48*F48)</f>
        <v/>
      </c>
      <c r="H48" s="10" t="n"/>
      <c r="I48" s="6" t="n"/>
      <c r="J48" s="6" t="n"/>
      <c r="K48" s="5">
        <f>IF(E48="","",E48-G48-N(M48))</f>
        <v/>
      </c>
      <c r="L48" s="10" t="n"/>
      <c r="M48" s="3" t="n"/>
      <c r="N48" s="5">
        <f>IF(OR(E48="",H48="",H48=0),"",K48/H48)</f>
        <v/>
      </c>
      <c r="O48" s="10" t="n"/>
    </row>
    <row r="49">
      <c r="A49" s="6" t="n"/>
      <c r="B49" s="10" t="n"/>
      <c r="C49" s="10" t="n"/>
      <c r="D49" s="10" t="n"/>
      <c r="E49" s="3" t="n"/>
      <c r="F49" s="4">
        <f>IF(E49="","",Goal!$B$4)</f>
        <v/>
      </c>
      <c r="G49" s="5">
        <f>IF(E49="","",E49*F49)</f>
        <v/>
      </c>
      <c r="H49" s="10" t="n"/>
      <c r="I49" s="6" t="n"/>
      <c r="J49" s="6" t="n"/>
      <c r="K49" s="5">
        <f>IF(E49="","",E49-G49-N(M49))</f>
        <v/>
      </c>
      <c r="L49" s="10" t="n"/>
      <c r="M49" s="3" t="n"/>
      <c r="N49" s="5">
        <f>IF(OR(E49="",H49="",H49=0),"",K49/H49)</f>
        <v/>
      </c>
      <c r="O49" s="10" t="n"/>
    </row>
    <row r="50">
      <c r="A50" s="6" t="n"/>
      <c r="B50" s="10" t="n"/>
      <c r="C50" s="10" t="n"/>
      <c r="D50" s="10" t="n"/>
      <c r="E50" s="3" t="n"/>
      <c r="F50" s="4">
        <f>IF(E50="","",Goal!$B$4)</f>
        <v/>
      </c>
      <c r="G50" s="5">
        <f>IF(E50="","",E50*F50)</f>
        <v/>
      </c>
      <c r="H50" s="10" t="n"/>
      <c r="I50" s="6" t="n"/>
      <c r="J50" s="6" t="n"/>
      <c r="K50" s="5">
        <f>IF(E50="","",E50-G50-N(M50))</f>
        <v/>
      </c>
      <c r="L50" s="10" t="n"/>
      <c r="M50" s="3" t="n"/>
      <c r="N50" s="5">
        <f>IF(OR(E50="",H50="",H50=0),"",K50/H50)</f>
        <v/>
      </c>
      <c r="O50" s="10" t="n"/>
    </row>
    <row r="51">
      <c r="A51" s="6" t="n"/>
      <c r="B51" s="10" t="n"/>
      <c r="C51" s="10" t="n"/>
      <c r="D51" s="10" t="n"/>
      <c r="E51" s="3" t="n"/>
      <c r="F51" s="4">
        <f>IF(E51="","",Goal!$B$4)</f>
        <v/>
      </c>
      <c r="G51" s="5">
        <f>IF(E51="","",E51*F51)</f>
        <v/>
      </c>
      <c r="H51" s="10" t="n"/>
      <c r="I51" s="6" t="n"/>
      <c r="J51" s="6" t="n"/>
      <c r="K51" s="5">
        <f>IF(E51="","",E51-G51-N(M51))</f>
        <v/>
      </c>
      <c r="L51" s="10" t="n"/>
      <c r="M51" s="3" t="n"/>
      <c r="N51" s="5">
        <f>IF(OR(E51="",H51="",H51=0),"",K51/H51)</f>
        <v/>
      </c>
      <c r="O51" s="10" t="n"/>
    </row>
    <row r="52">
      <c r="A52" s="6" t="n"/>
      <c r="B52" s="10" t="n"/>
      <c r="C52" s="10" t="n"/>
      <c r="D52" s="10" t="n"/>
      <c r="E52" s="3" t="n"/>
      <c r="F52" s="4">
        <f>IF(E52="","",Goal!$B$4)</f>
        <v/>
      </c>
      <c r="G52" s="5">
        <f>IF(E52="","",E52*F52)</f>
        <v/>
      </c>
      <c r="H52" s="10" t="n"/>
      <c r="I52" s="6" t="n"/>
      <c r="J52" s="6" t="n"/>
      <c r="K52" s="5">
        <f>IF(E52="","",E52-G52-N(M52))</f>
        <v/>
      </c>
      <c r="L52" s="10" t="n"/>
      <c r="M52" s="3" t="n"/>
      <c r="N52" s="5">
        <f>IF(OR(E52="",H52="",H52=0),"",K52/H52)</f>
        <v/>
      </c>
      <c r="O52" s="10" t="n"/>
    </row>
    <row r="53">
      <c r="A53" s="6" t="n"/>
      <c r="B53" s="10" t="n"/>
      <c r="C53" s="10" t="n"/>
      <c r="D53" s="10" t="n"/>
      <c r="E53" s="3" t="n"/>
      <c r="F53" s="4">
        <f>IF(E53="","",Goal!$B$4)</f>
        <v/>
      </c>
      <c r="G53" s="5">
        <f>IF(E53="","",E53*F53)</f>
        <v/>
      </c>
      <c r="H53" s="10" t="n"/>
      <c r="I53" s="6" t="n"/>
      <c r="J53" s="6" t="n"/>
      <c r="K53" s="5">
        <f>IF(E53="","",E53-G53-N(M53))</f>
        <v/>
      </c>
      <c r="L53" s="10" t="n"/>
      <c r="M53" s="3" t="n"/>
      <c r="N53" s="5">
        <f>IF(OR(E53="",H53="",H53=0),"",K53/H53)</f>
        <v/>
      </c>
      <c r="O53" s="10" t="n"/>
    </row>
    <row r="54">
      <c r="A54" s="6" t="n"/>
      <c r="B54" s="10" t="n"/>
      <c r="C54" s="10" t="n"/>
      <c r="D54" s="10" t="n"/>
      <c r="E54" s="3" t="n"/>
      <c r="F54" s="4">
        <f>IF(E54="","",Goal!$B$4)</f>
        <v/>
      </c>
      <c r="G54" s="5">
        <f>IF(E54="","",E54*F54)</f>
        <v/>
      </c>
      <c r="H54" s="10" t="n"/>
      <c r="I54" s="6" t="n"/>
      <c r="J54" s="6" t="n"/>
      <c r="K54" s="5">
        <f>IF(E54="","",E54-G54-N(M54))</f>
        <v/>
      </c>
      <c r="L54" s="10" t="n"/>
      <c r="M54" s="3" t="n"/>
      <c r="N54" s="5">
        <f>IF(OR(E54="",H54="",H54=0),"",K54/H54)</f>
        <v/>
      </c>
      <c r="O54" s="10" t="n"/>
    </row>
    <row r="55">
      <c r="A55" s="6" t="n"/>
      <c r="B55" s="10" t="n"/>
      <c r="C55" s="10" t="n"/>
      <c r="D55" s="10" t="n"/>
      <c r="E55" s="3" t="n"/>
      <c r="F55" s="4">
        <f>IF(E55="","",Goal!$B$4)</f>
        <v/>
      </c>
      <c r="G55" s="5">
        <f>IF(E55="","",E55*F55)</f>
        <v/>
      </c>
      <c r="H55" s="10" t="n"/>
      <c r="I55" s="6" t="n"/>
      <c r="J55" s="6" t="n"/>
      <c r="K55" s="5">
        <f>IF(E55="","",E55-G55-N(M55))</f>
        <v/>
      </c>
      <c r="L55" s="10" t="n"/>
      <c r="M55" s="3" t="n"/>
      <c r="N55" s="5">
        <f>IF(OR(E55="",H55="",H55=0),"",K55/H55)</f>
        <v/>
      </c>
      <c r="O55" s="10" t="n"/>
    </row>
    <row r="56">
      <c r="A56" s="6" t="n"/>
      <c r="B56" s="10" t="n"/>
      <c r="C56" s="10" t="n"/>
      <c r="D56" s="10" t="n"/>
      <c r="E56" s="3" t="n"/>
      <c r="F56" s="4">
        <f>IF(E56="","",Goal!$B$4)</f>
        <v/>
      </c>
      <c r="G56" s="5">
        <f>IF(E56="","",E56*F56)</f>
        <v/>
      </c>
      <c r="H56" s="10" t="n"/>
      <c r="I56" s="6" t="n"/>
      <c r="J56" s="6" t="n"/>
      <c r="K56" s="5">
        <f>IF(E56="","",E56-G56-N(M56))</f>
        <v/>
      </c>
      <c r="L56" s="10" t="n"/>
      <c r="M56" s="3" t="n"/>
      <c r="N56" s="5">
        <f>IF(OR(E56="",H56="",H56=0),"",K56/H56)</f>
        <v/>
      </c>
      <c r="O56" s="10" t="n"/>
    </row>
    <row r="57">
      <c r="A57" s="6" t="n"/>
      <c r="B57" s="10" t="n"/>
      <c r="C57" s="10" t="n"/>
      <c r="D57" s="10" t="n"/>
      <c r="E57" s="3" t="n"/>
      <c r="F57" s="4">
        <f>IF(E57="","",Goal!$B$4)</f>
        <v/>
      </c>
      <c r="G57" s="5">
        <f>IF(E57="","",E57*F57)</f>
        <v/>
      </c>
      <c r="H57" s="10" t="n"/>
      <c r="I57" s="6" t="n"/>
      <c r="J57" s="6" t="n"/>
      <c r="K57" s="5">
        <f>IF(E57="","",E57-G57-N(M57))</f>
        <v/>
      </c>
      <c r="L57" s="10" t="n"/>
      <c r="M57" s="3" t="n"/>
      <c r="N57" s="5">
        <f>IF(OR(E57="",H57="",H57=0),"",K57/H57)</f>
        <v/>
      </c>
      <c r="O57" s="10" t="n"/>
    </row>
    <row r="58">
      <c r="A58" s="6" t="n"/>
      <c r="B58" s="10" t="n"/>
      <c r="C58" s="10" t="n"/>
      <c r="D58" s="10" t="n"/>
      <c r="E58" s="3" t="n"/>
      <c r="F58" s="4">
        <f>IF(E58="","",Goal!$B$4)</f>
        <v/>
      </c>
      <c r="G58" s="5">
        <f>IF(E58="","",E58*F58)</f>
        <v/>
      </c>
      <c r="H58" s="10" t="n"/>
      <c r="I58" s="6" t="n"/>
      <c r="J58" s="6" t="n"/>
      <c r="K58" s="5">
        <f>IF(E58="","",E58-G58-N(M58))</f>
        <v/>
      </c>
      <c r="L58" s="10" t="n"/>
      <c r="M58" s="3" t="n"/>
      <c r="N58" s="5">
        <f>IF(OR(E58="",H58="",H58=0),"",K58/H58)</f>
        <v/>
      </c>
      <c r="O58" s="10" t="n"/>
    </row>
    <row r="59">
      <c r="A59" s="6" t="n"/>
      <c r="B59" s="10" t="n"/>
      <c r="C59" s="10" t="n"/>
      <c r="D59" s="10" t="n"/>
      <c r="E59" s="3" t="n"/>
      <c r="F59" s="4">
        <f>IF(E59="","",Goal!$B$4)</f>
        <v/>
      </c>
      <c r="G59" s="5">
        <f>IF(E59="","",E59*F59)</f>
        <v/>
      </c>
      <c r="H59" s="10" t="n"/>
      <c r="I59" s="6" t="n"/>
      <c r="J59" s="6" t="n"/>
      <c r="K59" s="5">
        <f>IF(E59="","",E59-G59-N(M59))</f>
        <v/>
      </c>
      <c r="L59" s="10" t="n"/>
      <c r="M59" s="3" t="n"/>
      <c r="N59" s="5">
        <f>IF(OR(E59="",H59="",H59=0),"",K59/H59)</f>
        <v/>
      </c>
      <c r="O59" s="10" t="n"/>
    </row>
    <row r="60">
      <c r="A60" s="6" t="n"/>
      <c r="B60" s="10" t="n"/>
      <c r="C60" s="10" t="n"/>
      <c r="D60" s="10" t="n"/>
      <c r="E60" s="3" t="n"/>
      <c r="F60" s="4">
        <f>IF(E60="","",Goal!$B$4)</f>
        <v/>
      </c>
      <c r="G60" s="5">
        <f>IF(E60="","",E60*F60)</f>
        <v/>
      </c>
      <c r="H60" s="10" t="n"/>
      <c r="I60" s="6" t="n"/>
      <c r="J60" s="6" t="n"/>
      <c r="K60" s="5">
        <f>IF(E60="","",E60-G60-N(M60))</f>
        <v/>
      </c>
      <c r="L60" s="10" t="n"/>
      <c r="M60" s="3" t="n"/>
      <c r="N60" s="5">
        <f>IF(OR(E60="",H60="",H60=0),"",K60/H60)</f>
        <v/>
      </c>
      <c r="O60" s="10" t="n"/>
    </row>
    <row r="61">
      <c r="A61" s="6" t="n"/>
      <c r="B61" s="10" t="n"/>
      <c r="C61" s="10" t="n"/>
      <c r="D61" s="10" t="n"/>
      <c r="E61" s="3" t="n"/>
      <c r="F61" s="4">
        <f>IF(E61="","",Goal!$B$4)</f>
        <v/>
      </c>
      <c r="G61" s="5">
        <f>IF(E61="","",E61*F61)</f>
        <v/>
      </c>
      <c r="H61" s="10" t="n"/>
      <c r="I61" s="6" t="n"/>
      <c r="J61" s="6" t="n"/>
      <c r="K61" s="5">
        <f>IF(E61="","",E61-G61-N(M61))</f>
        <v/>
      </c>
      <c r="L61" s="10" t="n"/>
      <c r="M61" s="3" t="n"/>
      <c r="N61" s="5">
        <f>IF(OR(E61="",H61="",H61=0),"",K61/H61)</f>
        <v/>
      </c>
      <c r="O61" s="10" t="n"/>
    </row>
    <row r="62">
      <c r="A62" s="6" t="n"/>
      <c r="B62" s="10" t="n"/>
      <c r="C62" s="10" t="n"/>
      <c r="D62" s="10" t="n"/>
      <c r="E62" s="3" t="n"/>
      <c r="F62" s="4">
        <f>IF(E62="","",Goal!$B$4)</f>
        <v/>
      </c>
      <c r="G62" s="5">
        <f>IF(E62="","",E62*F62)</f>
        <v/>
      </c>
      <c r="H62" s="10" t="n"/>
      <c r="I62" s="6" t="n"/>
      <c r="J62" s="6" t="n"/>
      <c r="K62" s="5">
        <f>IF(E62="","",E62-G62-N(M62))</f>
        <v/>
      </c>
      <c r="L62" s="10" t="n"/>
      <c r="M62" s="3" t="n"/>
      <c r="N62" s="5">
        <f>IF(OR(E62="",H62="",H62=0),"",K62/H62)</f>
        <v/>
      </c>
      <c r="O62" s="10" t="n"/>
    </row>
    <row r="63">
      <c r="A63" s="6" t="n"/>
      <c r="B63" s="10" t="n"/>
      <c r="C63" s="10" t="n"/>
      <c r="D63" s="10" t="n"/>
      <c r="E63" s="3" t="n"/>
      <c r="F63" s="4">
        <f>IF(E63="","",Goal!$B$4)</f>
        <v/>
      </c>
      <c r="G63" s="5">
        <f>IF(E63="","",E63*F63)</f>
        <v/>
      </c>
      <c r="H63" s="10" t="n"/>
      <c r="I63" s="6" t="n"/>
      <c r="J63" s="6" t="n"/>
      <c r="K63" s="5">
        <f>IF(E63="","",E63-G63-N(M63))</f>
        <v/>
      </c>
      <c r="L63" s="10" t="n"/>
      <c r="M63" s="3" t="n"/>
      <c r="N63" s="5">
        <f>IF(OR(E63="",H63="",H63=0),"",K63/H63)</f>
        <v/>
      </c>
      <c r="O63" s="10" t="n"/>
    </row>
    <row r="64">
      <c r="A64" s="6" t="n"/>
      <c r="B64" s="10" t="n"/>
      <c r="C64" s="10" t="n"/>
      <c r="D64" s="10" t="n"/>
      <c r="E64" s="3" t="n"/>
      <c r="F64" s="4">
        <f>IF(E64="","",Goal!$B$4)</f>
        <v/>
      </c>
      <c r="G64" s="5">
        <f>IF(E64="","",E64*F64)</f>
        <v/>
      </c>
      <c r="H64" s="10" t="n"/>
      <c r="I64" s="6" t="n"/>
      <c r="J64" s="6" t="n"/>
      <c r="K64" s="5">
        <f>IF(E64="","",E64-G64-N(M64))</f>
        <v/>
      </c>
      <c r="L64" s="10" t="n"/>
      <c r="M64" s="3" t="n"/>
      <c r="N64" s="5">
        <f>IF(OR(E64="",H64="",H64=0),"",K64/H64)</f>
        <v/>
      </c>
      <c r="O64" s="10" t="n"/>
    </row>
    <row r="65">
      <c r="A65" s="6" t="n"/>
      <c r="B65" s="10" t="n"/>
      <c r="C65" s="10" t="n"/>
      <c r="D65" s="10" t="n"/>
      <c r="E65" s="3" t="n"/>
      <c r="F65" s="4">
        <f>IF(E65="","",Goal!$B$4)</f>
        <v/>
      </c>
      <c r="G65" s="5">
        <f>IF(E65="","",E65*F65)</f>
        <v/>
      </c>
      <c r="H65" s="10" t="n"/>
      <c r="I65" s="6" t="n"/>
      <c r="J65" s="6" t="n"/>
      <c r="K65" s="5">
        <f>IF(E65="","",E65-G65-N(M65))</f>
        <v/>
      </c>
      <c r="L65" s="10" t="n"/>
      <c r="M65" s="3" t="n"/>
      <c r="N65" s="5">
        <f>IF(OR(E65="",H65="",H65=0),"",K65/H65)</f>
        <v/>
      </c>
      <c r="O65" s="10" t="n"/>
    </row>
    <row r="66">
      <c r="A66" s="6" t="n"/>
      <c r="B66" s="10" t="n"/>
      <c r="C66" s="10" t="n"/>
      <c r="D66" s="10" t="n"/>
      <c r="E66" s="3" t="n"/>
      <c r="F66" s="4">
        <f>IF(E66="","",Goal!$B$4)</f>
        <v/>
      </c>
      <c r="G66" s="5">
        <f>IF(E66="","",E66*F66)</f>
        <v/>
      </c>
      <c r="H66" s="10" t="n"/>
      <c r="I66" s="6" t="n"/>
      <c r="J66" s="6" t="n"/>
      <c r="K66" s="5">
        <f>IF(E66="","",E66-G66-N(M66))</f>
        <v/>
      </c>
      <c r="L66" s="10" t="n"/>
      <c r="M66" s="3" t="n"/>
      <c r="N66" s="5">
        <f>IF(OR(E66="",H66="",H66=0),"",K66/H66)</f>
        <v/>
      </c>
      <c r="O66" s="10" t="n"/>
    </row>
    <row r="67">
      <c r="A67" s="6" t="n"/>
      <c r="B67" s="10" t="n"/>
      <c r="C67" s="10" t="n"/>
      <c r="D67" s="10" t="n"/>
      <c r="E67" s="3" t="n"/>
      <c r="F67" s="4">
        <f>IF(E67="","",Goal!$B$4)</f>
        <v/>
      </c>
      <c r="G67" s="5">
        <f>IF(E67="","",E67*F67)</f>
        <v/>
      </c>
      <c r="H67" s="10" t="n"/>
      <c r="I67" s="6" t="n"/>
      <c r="J67" s="6" t="n"/>
      <c r="K67" s="5">
        <f>IF(E67="","",E67-G67-N(M67))</f>
        <v/>
      </c>
      <c r="L67" s="10" t="n"/>
      <c r="M67" s="3" t="n"/>
      <c r="N67" s="5">
        <f>IF(OR(E67="",H67="",H67=0),"",K67/H67)</f>
        <v/>
      </c>
      <c r="O67" s="10" t="n"/>
    </row>
    <row r="68">
      <c r="A68" s="6" t="n"/>
      <c r="B68" s="10" t="n"/>
      <c r="C68" s="10" t="n"/>
      <c r="D68" s="10" t="n"/>
      <c r="E68" s="3" t="n"/>
      <c r="F68" s="4">
        <f>IF(E68="","",Goal!$B$4)</f>
        <v/>
      </c>
      <c r="G68" s="5">
        <f>IF(E68="","",E68*F68)</f>
        <v/>
      </c>
      <c r="H68" s="10" t="n"/>
      <c r="I68" s="6" t="n"/>
      <c r="J68" s="6" t="n"/>
      <c r="K68" s="5">
        <f>IF(E68="","",E68-G68-N(M68))</f>
        <v/>
      </c>
      <c r="L68" s="10" t="n"/>
      <c r="M68" s="3" t="n"/>
      <c r="N68" s="5">
        <f>IF(OR(E68="",H68="",H68=0),"",K68/H68)</f>
        <v/>
      </c>
      <c r="O68" s="10" t="n"/>
    </row>
    <row r="69">
      <c r="A69" s="6" t="n"/>
      <c r="B69" s="10" t="n"/>
      <c r="C69" s="10" t="n"/>
      <c r="D69" s="10" t="n"/>
      <c r="E69" s="3" t="n"/>
      <c r="F69" s="4">
        <f>IF(E69="","",Goal!$B$4)</f>
        <v/>
      </c>
      <c r="G69" s="5">
        <f>IF(E69="","",E69*F69)</f>
        <v/>
      </c>
      <c r="H69" s="10" t="n"/>
      <c r="I69" s="6" t="n"/>
      <c r="J69" s="6" t="n"/>
      <c r="K69" s="5">
        <f>IF(E69="","",E69-G69-N(M69))</f>
        <v/>
      </c>
      <c r="L69" s="10" t="n"/>
      <c r="M69" s="3" t="n"/>
      <c r="N69" s="5">
        <f>IF(OR(E69="",H69="",H69=0),"",K69/H69)</f>
        <v/>
      </c>
      <c r="O69" s="10" t="n"/>
    </row>
    <row r="70">
      <c r="A70" s="6" t="n"/>
      <c r="B70" s="10" t="n"/>
      <c r="C70" s="10" t="n"/>
      <c r="D70" s="10" t="n"/>
      <c r="E70" s="3" t="n"/>
      <c r="F70" s="4">
        <f>IF(E70="","",Goal!$B$4)</f>
        <v/>
      </c>
      <c r="G70" s="5">
        <f>IF(E70="","",E70*F70)</f>
        <v/>
      </c>
      <c r="H70" s="10" t="n"/>
      <c r="I70" s="6" t="n"/>
      <c r="J70" s="6" t="n"/>
      <c r="K70" s="5">
        <f>IF(E70="","",E70-G70-N(M70))</f>
        <v/>
      </c>
      <c r="L70" s="10" t="n"/>
      <c r="M70" s="3" t="n"/>
      <c r="N70" s="5">
        <f>IF(OR(E70="",H70="",H70=0),"",K70/H70)</f>
        <v/>
      </c>
      <c r="O70" s="10" t="n"/>
    </row>
    <row r="71">
      <c r="A71" s="6" t="n"/>
      <c r="B71" s="10" t="n"/>
      <c r="C71" s="10" t="n"/>
      <c r="D71" s="10" t="n"/>
      <c r="E71" s="3" t="n"/>
      <c r="F71" s="4">
        <f>IF(E71="","",Goal!$B$4)</f>
        <v/>
      </c>
      <c r="G71" s="5">
        <f>IF(E71="","",E71*F71)</f>
        <v/>
      </c>
      <c r="H71" s="10" t="n"/>
      <c r="I71" s="6" t="n"/>
      <c r="J71" s="6" t="n"/>
      <c r="K71" s="5">
        <f>IF(E71="","",E71-G71-N(M71))</f>
        <v/>
      </c>
      <c r="L71" s="10" t="n"/>
      <c r="M71" s="3" t="n"/>
      <c r="N71" s="5">
        <f>IF(OR(E71="",H71="",H71=0),"",K71/H71)</f>
        <v/>
      </c>
      <c r="O71" s="10" t="n"/>
    </row>
    <row r="72">
      <c r="A72" s="6" t="n"/>
      <c r="B72" s="10" t="n"/>
      <c r="C72" s="10" t="n"/>
      <c r="D72" s="10" t="n"/>
      <c r="E72" s="3" t="n"/>
      <c r="F72" s="4">
        <f>IF(E72="","",Goal!$B$4)</f>
        <v/>
      </c>
      <c r="G72" s="5">
        <f>IF(E72="","",E72*F72)</f>
        <v/>
      </c>
      <c r="H72" s="10" t="n"/>
      <c r="I72" s="6" t="n"/>
      <c r="J72" s="6" t="n"/>
      <c r="K72" s="5">
        <f>IF(E72="","",E72-G72-N(M72))</f>
        <v/>
      </c>
      <c r="L72" s="10" t="n"/>
      <c r="M72" s="3" t="n"/>
      <c r="N72" s="5">
        <f>IF(OR(E72="",H72="",H72=0),"",K72/H72)</f>
        <v/>
      </c>
      <c r="O72" s="10" t="n"/>
    </row>
    <row r="73">
      <c r="A73" s="6" t="n"/>
      <c r="B73" s="10" t="n"/>
      <c r="C73" s="10" t="n"/>
      <c r="D73" s="10" t="n"/>
      <c r="E73" s="3" t="n"/>
      <c r="F73" s="4">
        <f>IF(E73="","",Goal!$B$4)</f>
        <v/>
      </c>
      <c r="G73" s="5">
        <f>IF(E73="","",E73*F73)</f>
        <v/>
      </c>
      <c r="H73" s="10" t="n"/>
      <c r="I73" s="6" t="n"/>
      <c r="J73" s="6" t="n"/>
      <c r="K73" s="5">
        <f>IF(E73="","",E73-G73-N(M73))</f>
        <v/>
      </c>
      <c r="L73" s="10" t="n"/>
      <c r="M73" s="3" t="n"/>
      <c r="N73" s="5">
        <f>IF(OR(E73="",H73="",H73=0),"",K73/H73)</f>
        <v/>
      </c>
      <c r="O73" s="10" t="n"/>
    </row>
    <row r="74">
      <c r="A74" s="6" t="n"/>
      <c r="B74" s="10" t="n"/>
      <c r="C74" s="10" t="n"/>
      <c r="D74" s="10" t="n"/>
      <c r="E74" s="3" t="n"/>
      <c r="F74" s="4">
        <f>IF(E74="","",Goal!$B$4)</f>
        <v/>
      </c>
      <c r="G74" s="5">
        <f>IF(E74="","",E74*F74)</f>
        <v/>
      </c>
      <c r="H74" s="10" t="n"/>
      <c r="I74" s="6" t="n"/>
      <c r="J74" s="6" t="n"/>
      <c r="K74" s="5">
        <f>IF(E74="","",E74-G74-N(M74))</f>
        <v/>
      </c>
      <c r="L74" s="10" t="n"/>
      <c r="M74" s="3" t="n"/>
      <c r="N74" s="5">
        <f>IF(OR(E74="",H74="",H74=0),"",K74/H74)</f>
        <v/>
      </c>
      <c r="O74" s="10" t="n"/>
    </row>
    <row r="75">
      <c r="A75" s="6" t="n"/>
      <c r="B75" s="10" t="n"/>
      <c r="C75" s="10" t="n"/>
      <c r="D75" s="10" t="n"/>
      <c r="E75" s="3" t="n"/>
      <c r="F75" s="4">
        <f>IF(E75="","",Goal!$B$4)</f>
        <v/>
      </c>
      <c r="G75" s="5">
        <f>IF(E75="","",E75*F75)</f>
        <v/>
      </c>
      <c r="H75" s="10" t="n"/>
      <c r="I75" s="6" t="n"/>
      <c r="J75" s="6" t="n"/>
      <c r="K75" s="5">
        <f>IF(E75="","",E75-G75-N(M75))</f>
        <v/>
      </c>
      <c r="L75" s="10" t="n"/>
      <c r="M75" s="3" t="n"/>
      <c r="N75" s="5">
        <f>IF(OR(E75="",H75="",H75=0),"",K75/H75)</f>
        <v/>
      </c>
      <c r="O75" s="10" t="n"/>
    </row>
    <row r="76">
      <c r="A76" s="6" t="n"/>
      <c r="B76" s="10" t="n"/>
      <c r="C76" s="10" t="n"/>
      <c r="D76" s="10" t="n"/>
      <c r="E76" s="3" t="n"/>
      <c r="F76" s="4">
        <f>IF(E76="","",Goal!$B$4)</f>
        <v/>
      </c>
      <c r="G76" s="5">
        <f>IF(E76="","",E76*F76)</f>
        <v/>
      </c>
      <c r="H76" s="10" t="n"/>
      <c r="I76" s="6" t="n"/>
      <c r="J76" s="6" t="n"/>
      <c r="K76" s="5">
        <f>IF(E76="","",E76-G76-N(M76))</f>
        <v/>
      </c>
      <c r="L76" s="10" t="n"/>
      <c r="M76" s="3" t="n"/>
      <c r="N76" s="5">
        <f>IF(OR(E76="",H76="",H76=0),"",K76/H76)</f>
        <v/>
      </c>
      <c r="O76" s="10" t="n"/>
    </row>
    <row r="77">
      <c r="A77" s="6" t="n"/>
      <c r="B77" s="10" t="n"/>
      <c r="C77" s="10" t="n"/>
      <c r="D77" s="10" t="n"/>
      <c r="E77" s="3" t="n"/>
      <c r="F77" s="4">
        <f>IF(E77="","",Goal!$B$4)</f>
        <v/>
      </c>
      <c r="G77" s="5">
        <f>IF(E77="","",E77*F77)</f>
        <v/>
      </c>
      <c r="H77" s="10" t="n"/>
      <c r="I77" s="6" t="n"/>
      <c r="J77" s="6" t="n"/>
      <c r="K77" s="5">
        <f>IF(E77="","",E77-G77-N(M77))</f>
        <v/>
      </c>
      <c r="L77" s="10" t="n"/>
      <c r="M77" s="3" t="n"/>
      <c r="N77" s="5">
        <f>IF(OR(E77="",H77="",H77=0),"",K77/H77)</f>
        <v/>
      </c>
      <c r="O77" s="10" t="n"/>
    </row>
    <row r="78">
      <c r="A78" s="6" t="n"/>
      <c r="B78" s="10" t="n"/>
      <c r="C78" s="10" t="n"/>
      <c r="D78" s="10" t="n"/>
      <c r="E78" s="3" t="n"/>
      <c r="F78" s="4">
        <f>IF(E78="","",Goal!$B$4)</f>
        <v/>
      </c>
      <c r="G78" s="5">
        <f>IF(E78="","",E78*F78)</f>
        <v/>
      </c>
      <c r="H78" s="10" t="n"/>
      <c r="I78" s="6" t="n"/>
      <c r="J78" s="6" t="n"/>
      <c r="K78" s="5">
        <f>IF(E78="","",E78-G78-N(M78))</f>
        <v/>
      </c>
      <c r="L78" s="10" t="n"/>
      <c r="M78" s="3" t="n"/>
      <c r="N78" s="5">
        <f>IF(OR(E78="",H78="",H78=0),"",K78/H78)</f>
        <v/>
      </c>
      <c r="O78" s="10" t="n"/>
    </row>
    <row r="79">
      <c r="A79" s="6" t="n"/>
      <c r="B79" s="10" t="n"/>
      <c r="C79" s="10" t="n"/>
      <c r="D79" s="10" t="n"/>
      <c r="E79" s="3" t="n"/>
      <c r="F79" s="4">
        <f>IF(E79="","",Goal!$B$4)</f>
        <v/>
      </c>
      <c r="G79" s="5">
        <f>IF(E79="","",E79*F79)</f>
        <v/>
      </c>
      <c r="H79" s="10" t="n"/>
      <c r="I79" s="6" t="n"/>
      <c r="J79" s="6" t="n"/>
      <c r="K79" s="5">
        <f>IF(E79="","",E79-G79-N(M79))</f>
        <v/>
      </c>
      <c r="L79" s="10" t="n"/>
      <c r="M79" s="3" t="n"/>
      <c r="N79" s="5">
        <f>IF(OR(E79="",H79="",H79=0),"",K79/H79)</f>
        <v/>
      </c>
      <c r="O79" s="10" t="n"/>
    </row>
    <row r="80">
      <c r="A80" s="6" t="n"/>
      <c r="B80" s="10" t="n"/>
      <c r="C80" s="10" t="n"/>
      <c r="D80" s="10" t="n"/>
      <c r="E80" s="3" t="n"/>
      <c r="F80" s="4">
        <f>IF(E80="","",Goal!$B$4)</f>
        <v/>
      </c>
      <c r="G80" s="5">
        <f>IF(E80="","",E80*F80)</f>
        <v/>
      </c>
      <c r="H80" s="10" t="n"/>
      <c r="I80" s="6" t="n"/>
      <c r="J80" s="6" t="n"/>
      <c r="K80" s="5">
        <f>IF(E80="","",E80-G80-N(M80))</f>
        <v/>
      </c>
      <c r="L80" s="10" t="n"/>
      <c r="M80" s="3" t="n"/>
      <c r="N80" s="5">
        <f>IF(OR(E80="",H80="",H80=0),"",K80/H80)</f>
        <v/>
      </c>
      <c r="O80" s="10" t="n"/>
    </row>
    <row r="81">
      <c r="A81" s="6" t="n"/>
      <c r="B81" s="10" t="n"/>
      <c r="C81" s="10" t="n"/>
      <c r="D81" s="10" t="n"/>
      <c r="E81" s="3" t="n"/>
      <c r="F81" s="4">
        <f>IF(E81="","",Goal!$B$4)</f>
        <v/>
      </c>
      <c r="G81" s="5">
        <f>IF(E81="","",E81*F81)</f>
        <v/>
      </c>
      <c r="H81" s="10" t="n"/>
      <c r="I81" s="6" t="n"/>
      <c r="J81" s="6" t="n"/>
      <c r="K81" s="5">
        <f>IF(E81="","",E81-G81-N(M81))</f>
        <v/>
      </c>
      <c r="L81" s="10" t="n"/>
      <c r="M81" s="3" t="n"/>
      <c r="N81" s="5">
        <f>IF(OR(E81="",H81="",H81=0),"",K81/H81)</f>
        <v/>
      </c>
      <c r="O81" s="10" t="n"/>
    </row>
    <row r="82">
      <c r="A82" s="6" t="n"/>
      <c r="B82" s="10" t="n"/>
      <c r="C82" s="10" t="n"/>
      <c r="D82" s="10" t="n"/>
      <c r="E82" s="3" t="n"/>
      <c r="F82" s="4">
        <f>IF(E82="","",Goal!$B$4)</f>
        <v/>
      </c>
      <c r="G82" s="5">
        <f>IF(E82="","",E82*F82)</f>
        <v/>
      </c>
      <c r="H82" s="10" t="n"/>
      <c r="I82" s="6" t="n"/>
      <c r="J82" s="6" t="n"/>
      <c r="K82" s="5">
        <f>IF(E82="","",E82-G82-N(M82))</f>
        <v/>
      </c>
      <c r="L82" s="10" t="n"/>
      <c r="M82" s="3" t="n"/>
      <c r="N82" s="5">
        <f>IF(OR(E82="",H82="",H82=0),"",K82/H82)</f>
        <v/>
      </c>
      <c r="O82" s="10" t="n"/>
    </row>
    <row r="83">
      <c r="A83" s="6" t="n"/>
      <c r="B83" s="10" t="n"/>
      <c r="C83" s="10" t="n"/>
      <c r="D83" s="10" t="n"/>
      <c r="E83" s="3" t="n"/>
      <c r="F83" s="4">
        <f>IF(E83="","",Goal!$B$4)</f>
        <v/>
      </c>
      <c r="G83" s="5">
        <f>IF(E83="","",E83*F83)</f>
        <v/>
      </c>
      <c r="H83" s="10" t="n"/>
      <c r="I83" s="6" t="n"/>
      <c r="J83" s="6" t="n"/>
      <c r="K83" s="5">
        <f>IF(E83="","",E83-G83-N(M83))</f>
        <v/>
      </c>
      <c r="L83" s="10" t="n"/>
      <c r="M83" s="3" t="n"/>
      <c r="N83" s="5">
        <f>IF(OR(E83="",H83="",H83=0),"",K83/H83)</f>
        <v/>
      </c>
      <c r="O83" s="10" t="n"/>
    </row>
    <row r="84">
      <c r="A84" s="6" t="n"/>
      <c r="B84" s="10" t="n"/>
      <c r="C84" s="10" t="n"/>
      <c r="D84" s="10" t="n"/>
      <c r="E84" s="3" t="n"/>
      <c r="F84" s="4">
        <f>IF(E84="","",Goal!$B$4)</f>
        <v/>
      </c>
      <c r="G84" s="5">
        <f>IF(E84="","",E84*F84)</f>
        <v/>
      </c>
      <c r="H84" s="10" t="n"/>
      <c r="I84" s="6" t="n"/>
      <c r="J84" s="6" t="n"/>
      <c r="K84" s="5">
        <f>IF(E84="","",E84-G84-N(M84))</f>
        <v/>
      </c>
      <c r="L84" s="10" t="n"/>
      <c r="M84" s="3" t="n"/>
      <c r="N84" s="5">
        <f>IF(OR(E84="",H84="",H84=0),"",K84/H84)</f>
        <v/>
      </c>
      <c r="O84" s="10" t="n"/>
    </row>
    <row r="85">
      <c r="A85" s="6" t="n"/>
      <c r="B85" s="10" t="n"/>
      <c r="C85" s="10" t="n"/>
      <c r="D85" s="10" t="n"/>
      <c r="E85" s="3" t="n"/>
      <c r="F85" s="4">
        <f>IF(E85="","",Goal!$B$4)</f>
        <v/>
      </c>
      <c r="G85" s="5">
        <f>IF(E85="","",E85*F85)</f>
        <v/>
      </c>
      <c r="H85" s="10" t="n"/>
      <c r="I85" s="6" t="n"/>
      <c r="J85" s="6" t="n"/>
      <c r="K85" s="5">
        <f>IF(E85="","",E85-G85-N(M85))</f>
        <v/>
      </c>
      <c r="L85" s="10" t="n"/>
      <c r="M85" s="3" t="n"/>
      <c r="N85" s="5">
        <f>IF(OR(E85="",H85="",H85=0),"",K85/H85)</f>
        <v/>
      </c>
      <c r="O85" s="10" t="n"/>
    </row>
    <row r="86">
      <c r="A86" s="6" t="n"/>
      <c r="B86" s="10" t="n"/>
      <c r="C86" s="10" t="n"/>
      <c r="D86" s="10" t="n"/>
      <c r="E86" s="3" t="n"/>
      <c r="F86" s="4">
        <f>IF(E86="","",Goal!$B$4)</f>
        <v/>
      </c>
      <c r="G86" s="5">
        <f>IF(E86="","",E86*F86)</f>
        <v/>
      </c>
      <c r="H86" s="10" t="n"/>
      <c r="I86" s="6" t="n"/>
      <c r="J86" s="6" t="n"/>
      <c r="K86" s="5">
        <f>IF(E86="","",E86-G86-N(M86))</f>
        <v/>
      </c>
      <c r="L86" s="10" t="n"/>
      <c r="M86" s="3" t="n"/>
      <c r="N86" s="5">
        <f>IF(OR(E86="",H86="",H86=0),"",K86/H86)</f>
        <v/>
      </c>
      <c r="O86" s="10" t="n"/>
    </row>
    <row r="87">
      <c r="A87" s="6" t="n"/>
      <c r="B87" s="10" t="n"/>
      <c r="C87" s="10" t="n"/>
      <c r="D87" s="10" t="n"/>
      <c r="E87" s="3" t="n"/>
      <c r="F87" s="4">
        <f>IF(E87="","",Goal!$B$4)</f>
        <v/>
      </c>
      <c r="G87" s="5">
        <f>IF(E87="","",E87*F87)</f>
        <v/>
      </c>
      <c r="H87" s="10" t="n"/>
      <c r="I87" s="6" t="n"/>
      <c r="J87" s="6" t="n"/>
      <c r="K87" s="5">
        <f>IF(E87="","",E87-G87-N(M87))</f>
        <v/>
      </c>
      <c r="L87" s="10" t="n"/>
      <c r="M87" s="3" t="n"/>
      <c r="N87" s="5">
        <f>IF(OR(E87="",H87="",H87=0),"",K87/H87)</f>
        <v/>
      </c>
      <c r="O87" s="10" t="n"/>
    </row>
    <row r="88">
      <c r="A88" s="6" t="n"/>
      <c r="B88" s="10" t="n"/>
      <c r="C88" s="10" t="n"/>
      <c r="D88" s="10" t="n"/>
      <c r="E88" s="3" t="n"/>
      <c r="F88" s="4">
        <f>IF(E88="","",Goal!$B$4)</f>
        <v/>
      </c>
      <c r="G88" s="5">
        <f>IF(E88="","",E88*F88)</f>
        <v/>
      </c>
      <c r="H88" s="10" t="n"/>
      <c r="I88" s="6" t="n"/>
      <c r="J88" s="6" t="n"/>
      <c r="K88" s="5">
        <f>IF(E88="","",E88-G88-N(M88))</f>
        <v/>
      </c>
      <c r="L88" s="10" t="n"/>
      <c r="M88" s="3" t="n"/>
      <c r="N88" s="5">
        <f>IF(OR(E88="",H88="",H88=0),"",K88/H88)</f>
        <v/>
      </c>
      <c r="O88" s="10" t="n"/>
    </row>
    <row r="89">
      <c r="A89" s="6" t="n"/>
      <c r="B89" s="10" t="n"/>
      <c r="C89" s="10" t="n"/>
      <c r="D89" s="10" t="n"/>
      <c r="E89" s="3" t="n"/>
      <c r="F89" s="4">
        <f>IF(E89="","",Goal!$B$4)</f>
        <v/>
      </c>
      <c r="G89" s="5">
        <f>IF(E89="","",E89*F89)</f>
        <v/>
      </c>
      <c r="H89" s="10" t="n"/>
      <c r="I89" s="6" t="n"/>
      <c r="J89" s="6" t="n"/>
      <c r="K89" s="5">
        <f>IF(E89="","",E89-G89-N(M89))</f>
        <v/>
      </c>
      <c r="L89" s="10" t="n"/>
      <c r="M89" s="3" t="n"/>
      <c r="N89" s="5">
        <f>IF(OR(E89="",H89="",H89=0),"",K89/H89)</f>
        <v/>
      </c>
      <c r="O89" s="10" t="n"/>
    </row>
    <row r="90">
      <c r="A90" s="6" t="n"/>
      <c r="B90" s="10" t="n"/>
      <c r="C90" s="10" t="n"/>
      <c r="D90" s="10" t="n"/>
      <c r="E90" s="3" t="n"/>
      <c r="F90" s="4">
        <f>IF(E90="","",Goal!$B$4)</f>
        <v/>
      </c>
      <c r="G90" s="5">
        <f>IF(E90="","",E90*F90)</f>
        <v/>
      </c>
      <c r="H90" s="10" t="n"/>
      <c r="I90" s="6" t="n"/>
      <c r="J90" s="6" t="n"/>
      <c r="K90" s="5">
        <f>IF(E90="","",E90-G90-N(M90))</f>
        <v/>
      </c>
      <c r="L90" s="10" t="n"/>
      <c r="M90" s="3" t="n"/>
      <c r="N90" s="5">
        <f>IF(OR(E90="",H90="",H90=0),"",K90/H90)</f>
        <v/>
      </c>
      <c r="O90" s="10" t="n"/>
    </row>
    <row r="91">
      <c r="A91" s="6" t="n"/>
      <c r="B91" s="10" t="n"/>
      <c r="C91" s="10" t="n"/>
      <c r="D91" s="10" t="n"/>
      <c r="E91" s="3" t="n"/>
      <c r="F91" s="4">
        <f>IF(E91="","",Goal!$B$4)</f>
        <v/>
      </c>
      <c r="G91" s="5">
        <f>IF(E91="","",E91*F91)</f>
        <v/>
      </c>
      <c r="H91" s="10" t="n"/>
      <c r="I91" s="6" t="n"/>
      <c r="J91" s="6" t="n"/>
      <c r="K91" s="5">
        <f>IF(E91="","",E91-G91-N(M91))</f>
        <v/>
      </c>
      <c r="L91" s="10" t="n"/>
      <c r="M91" s="3" t="n"/>
      <c r="N91" s="5">
        <f>IF(OR(E91="",H91="",H91=0),"",K91/H91)</f>
        <v/>
      </c>
      <c r="O91" s="10" t="n"/>
    </row>
    <row r="92">
      <c r="A92" s="6" t="n"/>
      <c r="B92" s="10" t="n"/>
      <c r="C92" s="10" t="n"/>
      <c r="D92" s="10" t="n"/>
      <c r="E92" s="3" t="n"/>
      <c r="F92" s="4">
        <f>IF(E92="","",Goal!$B$4)</f>
        <v/>
      </c>
      <c r="G92" s="5">
        <f>IF(E92="","",E92*F92)</f>
        <v/>
      </c>
      <c r="H92" s="10" t="n"/>
      <c r="I92" s="6" t="n"/>
      <c r="J92" s="6" t="n"/>
      <c r="K92" s="5">
        <f>IF(E92="","",E92-G92-N(M92))</f>
        <v/>
      </c>
      <c r="L92" s="10" t="n"/>
      <c r="M92" s="3" t="n"/>
      <c r="N92" s="5">
        <f>IF(OR(E92="",H92="",H92=0),"",K92/H92)</f>
        <v/>
      </c>
      <c r="O92" s="10" t="n"/>
    </row>
    <row r="93">
      <c r="A93" s="6" t="n"/>
      <c r="B93" s="10" t="n"/>
      <c r="C93" s="10" t="n"/>
      <c r="D93" s="10" t="n"/>
      <c r="E93" s="3" t="n"/>
      <c r="F93" s="4">
        <f>IF(E93="","",Goal!$B$4)</f>
        <v/>
      </c>
      <c r="G93" s="5">
        <f>IF(E93="","",E93*F93)</f>
        <v/>
      </c>
      <c r="H93" s="10" t="n"/>
      <c r="I93" s="6" t="n"/>
      <c r="J93" s="6" t="n"/>
      <c r="K93" s="5">
        <f>IF(E93="","",E93-G93-N(M93))</f>
        <v/>
      </c>
      <c r="L93" s="10" t="n"/>
      <c r="M93" s="3" t="n"/>
      <c r="N93" s="5">
        <f>IF(OR(E93="",H93="",H93=0),"",K93/H93)</f>
        <v/>
      </c>
      <c r="O93" s="10" t="n"/>
    </row>
    <row r="94">
      <c r="A94" s="6" t="n"/>
      <c r="B94" s="10" t="n"/>
      <c r="C94" s="10" t="n"/>
      <c r="D94" s="10" t="n"/>
      <c r="E94" s="3" t="n"/>
      <c r="F94" s="4">
        <f>IF(E94="","",Goal!$B$4)</f>
        <v/>
      </c>
      <c r="G94" s="5">
        <f>IF(E94="","",E94*F94)</f>
        <v/>
      </c>
      <c r="H94" s="10" t="n"/>
      <c r="I94" s="6" t="n"/>
      <c r="J94" s="6" t="n"/>
      <c r="K94" s="5">
        <f>IF(E94="","",E94-G94-N(M94))</f>
        <v/>
      </c>
      <c r="L94" s="10" t="n"/>
      <c r="M94" s="3" t="n"/>
      <c r="N94" s="5">
        <f>IF(OR(E94="",H94="",H94=0),"",K94/H94)</f>
        <v/>
      </c>
      <c r="O94" s="10" t="n"/>
    </row>
    <row r="95">
      <c r="A95" s="6" t="n"/>
      <c r="B95" s="10" t="n"/>
      <c r="C95" s="10" t="n"/>
      <c r="D95" s="10" t="n"/>
      <c r="E95" s="3" t="n"/>
      <c r="F95" s="4">
        <f>IF(E95="","",Goal!$B$4)</f>
        <v/>
      </c>
      <c r="G95" s="5">
        <f>IF(E95="","",E95*F95)</f>
        <v/>
      </c>
      <c r="H95" s="10" t="n"/>
      <c r="I95" s="6" t="n"/>
      <c r="J95" s="6" t="n"/>
      <c r="K95" s="5">
        <f>IF(E95="","",E95-G95-N(M95))</f>
        <v/>
      </c>
      <c r="L95" s="10" t="n"/>
      <c r="M95" s="3" t="n"/>
      <c r="N95" s="5">
        <f>IF(OR(E95="",H95="",H95=0),"",K95/H95)</f>
        <v/>
      </c>
      <c r="O95" s="10" t="n"/>
    </row>
    <row r="96">
      <c r="A96" s="6" t="n"/>
      <c r="B96" s="10" t="n"/>
      <c r="C96" s="10" t="n"/>
      <c r="D96" s="10" t="n"/>
      <c r="E96" s="3" t="n"/>
      <c r="F96" s="4">
        <f>IF(E96="","",Goal!$B$4)</f>
        <v/>
      </c>
      <c r="G96" s="5">
        <f>IF(E96="","",E96*F96)</f>
        <v/>
      </c>
      <c r="H96" s="10" t="n"/>
      <c r="I96" s="6" t="n"/>
      <c r="J96" s="6" t="n"/>
      <c r="K96" s="5">
        <f>IF(E96="","",E96-G96-N(M96))</f>
        <v/>
      </c>
      <c r="L96" s="10" t="n"/>
      <c r="M96" s="3" t="n"/>
      <c r="N96" s="5">
        <f>IF(OR(E96="",H96="",H96=0),"",K96/H96)</f>
        <v/>
      </c>
      <c r="O96" s="10" t="n"/>
    </row>
    <row r="97">
      <c r="A97" s="6" t="n"/>
      <c r="B97" s="10" t="n"/>
      <c r="C97" s="10" t="n"/>
      <c r="D97" s="10" t="n"/>
      <c r="E97" s="3" t="n"/>
      <c r="F97" s="4">
        <f>IF(E97="","",Goal!$B$4)</f>
        <v/>
      </c>
      <c r="G97" s="5">
        <f>IF(E97="","",E97*F97)</f>
        <v/>
      </c>
      <c r="H97" s="10" t="n"/>
      <c r="I97" s="6" t="n"/>
      <c r="J97" s="6" t="n"/>
      <c r="K97" s="5">
        <f>IF(E97="","",E97-G97-N(M97))</f>
        <v/>
      </c>
      <c r="L97" s="10" t="n"/>
      <c r="M97" s="3" t="n"/>
      <c r="N97" s="5">
        <f>IF(OR(E97="",H97="",H97=0),"",K97/H97)</f>
        <v/>
      </c>
      <c r="O97" s="10" t="n"/>
    </row>
    <row r="98">
      <c r="A98" s="6" t="n"/>
      <c r="B98" s="10" t="n"/>
      <c r="C98" s="10" t="n"/>
      <c r="D98" s="10" t="n"/>
      <c r="E98" s="3" t="n"/>
      <c r="F98" s="4">
        <f>IF(E98="","",Goal!$B$4)</f>
        <v/>
      </c>
      <c r="G98" s="5">
        <f>IF(E98="","",E98*F98)</f>
        <v/>
      </c>
      <c r="H98" s="10" t="n"/>
      <c r="I98" s="6" t="n"/>
      <c r="J98" s="6" t="n"/>
      <c r="K98" s="5">
        <f>IF(E98="","",E98-G98-N(M98))</f>
        <v/>
      </c>
      <c r="L98" s="10" t="n"/>
      <c r="M98" s="3" t="n"/>
      <c r="N98" s="5">
        <f>IF(OR(E98="",H98="",H98=0),"",K98/H98)</f>
        <v/>
      </c>
      <c r="O98" s="10" t="n"/>
    </row>
    <row r="99">
      <c r="A99" s="6" t="n"/>
      <c r="B99" s="10" t="n"/>
      <c r="C99" s="10" t="n"/>
      <c r="D99" s="10" t="n"/>
      <c r="E99" s="3" t="n"/>
      <c r="F99" s="4">
        <f>IF(E99="","",Goal!$B$4)</f>
        <v/>
      </c>
      <c r="G99" s="5">
        <f>IF(E99="","",E99*F99)</f>
        <v/>
      </c>
      <c r="H99" s="10" t="n"/>
      <c r="I99" s="6" t="n"/>
      <c r="J99" s="6" t="n"/>
      <c r="K99" s="5">
        <f>IF(E99="","",E99-G99-N(M99))</f>
        <v/>
      </c>
      <c r="L99" s="10" t="n"/>
      <c r="M99" s="3" t="n"/>
      <c r="N99" s="5">
        <f>IF(OR(E99="",H99="",H99=0),"",K99/H99)</f>
        <v/>
      </c>
      <c r="O99" s="10" t="n"/>
    </row>
    <row r="100">
      <c r="A100" s="6" t="n"/>
      <c r="B100" s="10" t="n"/>
      <c r="C100" s="10" t="n"/>
      <c r="D100" s="10" t="n"/>
      <c r="E100" s="3" t="n"/>
      <c r="F100" s="4">
        <f>IF(E100="","",Goal!$B$4)</f>
        <v/>
      </c>
      <c r="G100" s="5">
        <f>IF(E100="","",E100*F100)</f>
        <v/>
      </c>
      <c r="H100" s="10" t="n"/>
      <c r="I100" s="6" t="n"/>
      <c r="J100" s="6" t="n"/>
      <c r="K100" s="5">
        <f>IF(E100="","",E100-G100-N(M100))</f>
        <v/>
      </c>
      <c r="L100" s="10" t="n"/>
      <c r="M100" s="3" t="n"/>
      <c r="N100" s="5">
        <f>IF(OR(E100="",H100="",H100=0),"",K100/H100)</f>
        <v/>
      </c>
      <c r="O100" s="10" t="n"/>
    </row>
    <row r="101">
      <c r="A101" s="6" t="n"/>
      <c r="B101" s="10" t="n"/>
      <c r="C101" s="10" t="n"/>
      <c r="D101" s="10" t="n"/>
      <c r="E101" s="3" t="n"/>
      <c r="F101" s="4">
        <f>IF(E101="","",Goal!$B$4)</f>
        <v/>
      </c>
      <c r="G101" s="5">
        <f>IF(E101="","",E101*F101)</f>
        <v/>
      </c>
      <c r="H101" s="10" t="n"/>
      <c r="I101" s="6" t="n"/>
      <c r="J101" s="6" t="n"/>
      <c r="K101" s="5">
        <f>IF(E101="","",E101-G101-N(M101))</f>
        <v/>
      </c>
      <c r="L101" s="10" t="n"/>
      <c r="M101" s="3" t="n"/>
      <c r="N101" s="5">
        <f>IF(OR(E101="",H101="",H101=0),"",K101/H101)</f>
        <v/>
      </c>
      <c r="O101" s="10" t="n"/>
    </row>
    <row r="102">
      <c r="A102" s="6" t="n"/>
      <c r="B102" s="10" t="n"/>
      <c r="C102" s="10" t="n"/>
      <c r="D102" s="10" t="n"/>
      <c r="E102" s="3" t="n"/>
      <c r="F102" s="4">
        <f>IF(E102="","",Goal!$B$4)</f>
        <v/>
      </c>
      <c r="G102" s="5">
        <f>IF(E102="","",E102*F102)</f>
        <v/>
      </c>
      <c r="H102" s="10" t="n"/>
      <c r="I102" s="6" t="n"/>
      <c r="J102" s="6" t="n"/>
      <c r="K102" s="5">
        <f>IF(E102="","",E102-G102-N(M102))</f>
        <v/>
      </c>
      <c r="L102" s="10" t="n"/>
      <c r="M102" s="3" t="n"/>
      <c r="N102" s="5">
        <f>IF(OR(E102="",H102="",H102=0),"",K102/H102)</f>
        <v/>
      </c>
      <c r="O102" s="10" t="n"/>
    </row>
    <row r="103">
      <c r="A103" s="6" t="n"/>
      <c r="B103" s="10" t="n"/>
      <c r="C103" s="10" t="n"/>
      <c r="D103" s="10" t="n"/>
      <c r="E103" s="3" t="n"/>
      <c r="F103" s="4">
        <f>IF(E103="","",Goal!$B$4)</f>
        <v/>
      </c>
      <c r="G103" s="5">
        <f>IF(E103="","",E103*F103)</f>
        <v/>
      </c>
      <c r="H103" s="10" t="n"/>
      <c r="I103" s="6" t="n"/>
      <c r="J103" s="6" t="n"/>
      <c r="K103" s="5">
        <f>IF(E103="","",E103-G103-N(M103))</f>
        <v/>
      </c>
      <c r="L103" s="10" t="n"/>
      <c r="M103" s="3" t="n"/>
      <c r="N103" s="5">
        <f>IF(OR(E103="",H103="",H103=0),"",K103/H103)</f>
        <v/>
      </c>
      <c r="O103" s="10" t="n"/>
    </row>
    <row r="104">
      <c r="A104" s="6" t="n"/>
      <c r="B104" s="10" t="n"/>
      <c r="C104" s="10" t="n"/>
      <c r="D104" s="10" t="n"/>
      <c r="E104" s="3" t="n"/>
      <c r="F104" s="4">
        <f>IF(E104="","",Goal!$B$4)</f>
        <v/>
      </c>
      <c r="G104" s="5">
        <f>IF(E104="","",E104*F104)</f>
        <v/>
      </c>
      <c r="H104" s="10" t="n"/>
      <c r="I104" s="6" t="n"/>
      <c r="J104" s="6" t="n"/>
      <c r="K104" s="5">
        <f>IF(E104="","",E104-G104-N(M104))</f>
        <v/>
      </c>
      <c r="L104" s="10" t="n"/>
      <c r="M104" s="3" t="n"/>
      <c r="N104" s="5">
        <f>IF(OR(E104="",H104="",H104=0),"",K104/H104)</f>
        <v/>
      </c>
      <c r="O104" s="10" t="n"/>
    </row>
    <row r="105">
      <c r="A105" s="6" t="n"/>
      <c r="B105" s="10" t="n"/>
      <c r="C105" s="10" t="n"/>
      <c r="D105" s="10" t="n"/>
      <c r="E105" s="3" t="n"/>
      <c r="F105" s="4">
        <f>IF(E105="","",Goal!$B$4)</f>
        <v/>
      </c>
      <c r="G105" s="5">
        <f>IF(E105="","",E105*F105)</f>
        <v/>
      </c>
      <c r="H105" s="10" t="n"/>
      <c r="I105" s="6" t="n"/>
      <c r="J105" s="6" t="n"/>
      <c r="K105" s="5">
        <f>IF(E105="","",E105-G105-N(M105))</f>
        <v/>
      </c>
      <c r="L105" s="10" t="n"/>
      <c r="M105" s="3" t="n"/>
      <c r="N105" s="5">
        <f>IF(OR(E105="",H105="",H105=0),"",K105/H105)</f>
        <v/>
      </c>
      <c r="O105" s="10" t="n"/>
    </row>
    <row r="106">
      <c r="A106" s="6" t="n"/>
      <c r="B106" s="10" t="n"/>
      <c r="C106" s="10" t="n"/>
      <c r="D106" s="10" t="n"/>
      <c r="E106" s="3" t="n"/>
      <c r="F106" s="4">
        <f>IF(E106="","",Goal!$B$4)</f>
        <v/>
      </c>
      <c r="G106" s="5">
        <f>IF(E106="","",E106*F106)</f>
        <v/>
      </c>
      <c r="H106" s="10" t="n"/>
      <c r="I106" s="6" t="n"/>
      <c r="J106" s="6" t="n"/>
      <c r="K106" s="5">
        <f>IF(E106="","",E106-G106-N(M106))</f>
        <v/>
      </c>
      <c r="L106" s="10" t="n"/>
      <c r="M106" s="3" t="n"/>
      <c r="N106" s="5">
        <f>IF(OR(E106="",H106="",H106=0),"",K106/H106)</f>
        <v/>
      </c>
      <c r="O106" s="10" t="n"/>
    </row>
    <row r="107">
      <c r="A107" s="6" t="n"/>
      <c r="B107" s="10" t="n"/>
      <c r="C107" s="10" t="n"/>
      <c r="D107" s="10" t="n"/>
      <c r="E107" s="3" t="n"/>
      <c r="F107" s="4">
        <f>IF(E107="","",Goal!$B$4)</f>
        <v/>
      </c>
      <c r="G107" s="5">
        <f>IF(E107="","",E107*F107)</f>
        <v/>
      </c>
      <c r="H107" s="10" t="n"/>
      <c r="I107" s="6" t="n"/>
      <c r="J107" s="6" t="n"/>
      <c r="K107" s="5">
        <f>IF(E107="","",E107-G107-N(M107))</f>
        <v/>
      </c>
      <c r="L107" s="10" t="n"/>
      <c r="M107" s="3" t="n"/>
      <c r="N107" s="5">
        <f>IF(OR(E107="",H107="",H107=0),"",K107/H107)</f>
        <v/>
      </c>
      <c r="O107" s="10" t="n"/>
    </row>
    <row r="108">
      <c r="A108" s="6" t="n"/>
      <c r="B108" s="10" t="n"/>
      <c r="C108" s="10" t="n"/>
      <c r="D108" s="10" t="n"/>
      <c r="E108" s="3" t="n"/>
      <c r="F108" s="4">
        <f>IF(E108="","",Goal!$B$4)</f>
        <v/>
      </c>
      <c r="G108" s="5">
        <f>IF(E108="","",E108*F108)</f>
        <v/>
      </c>
      <c r="H108" s="10" t="n"/>
      <c r="I108" s="6" t="n"/>
      <c r="J108" s="6" t="n"/>
      <c r="K108" s="5">
        <f>IF(E108="","",E108-G108-N(M108))</f>
        <v/>
      </c>
      <c r="L108" s="10" t="n"/>
      <c r="M108" s="3" t="n"/>
      <c r="N108" s="5">
        <f>IF(OR(E108="",H108="",H108=0),"",K108/H108)</f>
        <v/>
      </c>
      <c r="O108" s="10" t="n"/>
    </row>
    <row r="109">
      <c r="A109" s="6" t="n"/>
      <c r="B109" s="10" t="n"/>
      <c r="C109" s="10" t="n"/>
      <c r="D109" s="10" t="n"/>
      <c r="E109" s="3" t="n"/>
      <c r="F109" s="4">
        <f>IF(E109="","",Goal!$B$4)</f>
        <v/>
      </c>
      <c r="G109" s="5">
        <f>IF(E109="","",E109*F109)</f>
        <v/>
      </c>
      <c r="H109" s="10" t="n"/>
      <c r="I109" s="6" t="n"/>
      <c r="J109" s="6" t="n"/>
      <c r="K109" s="5">
        <f>IF(E109="","",E109-G109-N(M109))</f>
        <v/>
      </c>
      <c r="L109" s="10" t="n"/>
      <c r="M109" s="3" t="n"/>
      <c r="N109" s="5">
        <f>IF(OR(E109="",H109="",H109=0),"",K109/H109)</f>
        <v/>
      </c>
      <c r="O109" s="10" t="n"/>
    </row>
    <row r="110">
      <c r="A110" s="6" t="n"/>
      <c r="B110" s="10" t="n"/>
      <c r="C110" s="10" t="n"/>
      <c r="D110" s="10" t="n"/>
      <c r="E110" s="3" t="n"/>
      <c r="F110" s="4">
        <f>IF(E110="","",Goal!$B$4)</f>
        <v/>
      </c>
      <c r="G110" s="5">
        <f>IF(E110="","",E110*F110)</f>
        <v/>
      </c>
      <c r="H110" s="10" t="n"/>
      <c r="I110" s="6" t="n"/>
      <c r="J110" s="6" t="n"/>
      <c r="K110" s="5">
        <f>IF(E110="","",E110-G110-N(M110))</f>
        <v/>
      </c>
      <c r="L110" s="10" t="n"/>
      <c r="M110" s="3" t="n"/>
      <c r="N110" s="5">
        <f>IF(OR(E110="",H110="",H110=0),"",K110/H110)</f>
        <v/>
      </c>
      <c r="O110" s="10" t="n"/>
    </row>
    <row r="111">
      <c r="A111" s="6" t="n"/>
      <c r="B111" s="10" t="n"/>
      <c r="C111" s="10" t="n"/>
      <c r="D111" s="10" t="n"/>
      <c r="E111" s="3" t="n"/>
      <c r="F111" s="4">
        <f>IF(E111="","",Goal!$B$4)</f>
        <v/>
      </c>
      <c r="G111" s="5">
        <f>IF(E111="","",E111*F111)</f>
        <v/>
      </c>
      <c r="H111" s="10" t="n"/>
      <c r="I111" s="6" t="n"/>
      <c r="J111" s="6" t="n"/>
      <c r="K111" s="5">
        <f>IF(E111="","",E111-G111-N(M111))</f>
        <v/>
      </c>
      <c r="L111" s="10" t="n"/>
      <c r="M111" s="3" t="n"/>
      <c r="N111" s="5">
        <f>IF(OR(E111="",H111="",H111=0),"",K111/H111)</f>
        <v/>
      </c>
      <c r="O111" s="10" t="n"/>
    </row>
    <row r="112">
      <c r="A112" s="6" t="n"/>
      <c r="B112" s="10" t="n"/>
      <c r="C112" s="10" t="n"/>
      <c r="D112" s="10" t="n"/>
      <c r="E112" s="3" t="n"/>
      <c r="F112" s="4">
        <f>IF(E112="","",Goal!$B$4)</f>
        <v/>
      </c>
      <c r="G112" s="5">
        <f>IF(E112="","",E112*F112)</f>
        <v/>
      </c>
      <c r="H112" s="10" t="n"/>
      <c r="I112" s="6" t="n"/>
      <c r="J112" s="6" t="n"/>
      <c r="K112" s="5">
        <f>IF(E112="","",E112-G112-N(M112))</f>
        <v/>
      </c>
      <c r="L112" s="10" t="n"/>
      <c r="M112" s="3" t="n"/>
      <c r="N112" s="5">
        <f>IF(OR(E112="",H112="",H112=0),"",K112/H112)</f>
        <v/>
      </c>
      <c r="O112" s="10" t="n"/>
    </row>
    <row r="113">
      <c r="A113" s="6" t="n"/>
      <c r="B113" s="10" t="n"/>
      <c r="C113" s="10" t="n"/>
      <c r="D113" s="10" t="n"/>
      <c r="E113" s="3" t="n"/>
      <c r="F113" s="4">
        <f>IF(E113="","",Goal!$B$4)</f>
        <v/>
      </c>
      <c r="G113" s="5">
        <f>IF(E113="","",E113*F113)</f>
        <v/>
      </c>
      <c r="H113" s="10" t="n"/>
      <c r="I113" s="6" t="n"/>
      <c r="J113" s="6" t="n"/>
      <c r="K113" s="5">
        <f>IF(E113="","",E113-G113-N(M113))</f>
        <v/>
      </c>
      <c r="L113" s="10" t="n"/>
      <c r="M113" s="3" t="n"/>
      <c r="N113" s="5">
        <f>IF(OR(E113="",H113="",H113=0),"",K113/H113)</f>
        <v/>
      </c>
      <c r="O113" s="10" t="n"/>
    </row>
    <row r="114">
      <c r="A114" s="6" t="n"/>
      <c r="B114" s="10" t="n"/>
      <c r="C114" s="10" t="n"/>
      <c r="D114" s="10" t="n"/>
      <c r="E114" s="3" t="n"/>
      <c r="F114" s="4">
        <f>IF(E114="","",Goal!$B$4)</f>
        <v/>
      </c>
      <c r="G114" s="5">
        <f>IF(E114="","",E114*F114)</f>
        <v/>
      </c>
      <c r="H114" s="10" t="n"/>
      <c r="I114" s="6" t="n"/>
      <c r="J114" s="6" t="n"/>
      <c r="K114" s="5">
        <f>IF(E114="","",E114-G114-N(M114))</f>
        <v/>
      </c>
      <c r="L114" s="10" t="n"/>
      <c r="M114" s="3" t="n"/>
      <c r="N114" s="5">
        <f>IF(OR(E114="",H114="",H114=0),"",K114/H114)</f>
        <v/>
      </c>
      <c r="O114" s="10" t="n"/>
    </row>
    <row r="115">
      <c r="A115" s="6" t="n"/>
      <c r="B115" s="10" t="n"/>
      <c r="C115" s="10" t="n"/>
      <c r="D115" s="10" t="n"/>
      <c r="E115" s="3" t="n"/>
      <c r="F115" s="4">
        <f>IF(E115="","",Goal!$B$4)</f>
        <v/>
      </c>
      <c r="G115" s="5">
        <f>IF(E115="","",E115*F115)</f>
        <v/>
      </c>
      <c r="H115" s="10" t="n"/>
      <c r="I115" s="6" t="n"/>
      <c r="J115" s="6" t="n"/>
      <c r="K115" s="5">
        <f>IF(E115="","",E115-G115-N(M115))</f>
        <v/>
      </c>
      <c r="L115" s="10" t="n"/>
      <c r="M115" s="3" t="n"/>
      <c r="N115" s="5">
        <f>IF(OR(E115="",H115="",H115=0),"",K115/H115)</f>
        <v/>
      </c>
      <c r="O115" s="10" t="n"/>
    </row>
    <row r="116">
      <c r="A116" s="6" t="n"/>
      <c r="B116" s="10" t="n"/>
      <c r="C116" s="10" t="n"/>
      <c r="D116" s="10" t="n"/>
      <c r="E116" s="3" t="n"/>
      <c r="F116" s="4">
        <f>IF(E116="","",Goal!$B$4)</f>
        <v/>
      </c>
      <c r="G116" s="5">
        <f>IF(E116="","",E116*F116)</f>
        <v/>
      </c>
      <c r="H116" s="10" t="n"/>
      <c r="I116" s="6" t="n"/>
      <c r="J116" s="6" t="n"/>
      <c r="K116" s="5">
        <f>IF(E116="","",E116-G116-N(M116))</f>
        <v/>
      </c>
      <c r="L116" s="10" t="n"/>
      <c r="M116" s="3" t="n"/>
      <c r="N116" s="5">
        <f>IF(OR(E116="",H116="",H116=0),"",K116/H116)</f>
        <v/>
      </c>
      <c r="O116" s="10" t="n"/>
    </row>
    <row r="117">
      <c r="A117" s="6" t="n"/>
      <c r="B117" s="10" t="n"/>
      <c r="C117" s="10" t="n"/>
      <c r="D117" s="10" t="n"/>
      <c r="E117" s="3" t="n"/>
      <c r="F117" s="4">
        <f>IF(E117="","",Goal!$B$4)</f>
        <v/>
      </c>
      <c r="G117" s="5">
        <f>IF(E117="","",E117*F117)</f>
        <v/>
      </c>
      <c r="H117" s="10" t="n"/>
      <c r="I117" s="6" t="n"/>
      <c r="J117" s="6" t="n"/>
      <c r="K117" s="5">
        <f>IF(E117="","",E117-G117-N(M117))</f>
        <v/>
      </c>
      <c r="L117" s="10" t="n"/>
      <c r="M117" s="3" t="n"/>
      <c r="N117" s="5">
        <f>IF(OR(E117="",H117="",H117=0),"",K117/H117)</f>
        <v/>
      </c>
      <c r="O117" s="10" t="n"/>
    </row>
    <row r="118">
      <c r="A118" s="6" t="n"/>
      <c r="B118" s="10" t="n"/>
      <c r="C118" s="10" t="n"/>
      <c r="D118" s="10" t="n"/>
      <c r="E118" s="3" t="n"/>
      <c r="F118" s="4">
        <f>IF(E118="","",Goal!$B$4)</f>
        <v/>
      </c>
      <c r="G118" s="5">
        <f>IF(E118="","",E118*F118)</f>
        <v/>
      </c>
      <c r="H118" s="10" t="n"/>
      <c r="I118" s="6" t="n"/>
      <c r="J118" s="6" t="n"/>
      <c r="K118" s="5">
        <f>IF(E118="","",E118-G118-N(M118))</f>
        <v/>
      </c>
      <c r="L118" s="10" t="n"/>
      <c r="M118" s="3" t="n"/>
      <c r="N118" s="5">
        <f>IF(OR(E118="",H118="",H118=0),"",K118/H118)</f>
        <v/>
      </c>
      <c r="O118" s="10" t="n"/>
    </row>
    <row r="119">
      <c r="A119" s="6" t="n"/>
      <c r="B119" s="10" t="n"/>
      <c r="C119" s="10" t="n"/>
      <c r="D119" s="10" t="n"/>
      <c r="E119" s="3" t="n"/>
      <c r="F119" s="4">
        <f>IF(E119="","",Goal!$B$4)</f>
        <v/>
      </c>
      <c r="G119" s="5">
        <f>IF(E119="","",E119*F119)</f>
        <v/>
      </c>
      <c r="H119" s="10" t="n"/>
      <c r="I119" s="6" t="n"/>
      <c r="J119" s="6" t="n"/>
      <c r="K119" s="5">
        <f>IF(E119="","",E119-G119-N(M119))</f>
        <v/>
      </c>
      <c r="L119" s="10" t="n"/>
      <c r="M119" s="3" t="n"/>
      <c r="N119" s="5">
        <f>IF(OR(E119="",H119="",H119=0),"",K119/H119)</f>
        <v/>
      </c>
      <c r="O119" s="10" t="n"/>
    </row>
    <row r="120">
      <c r="A120" s="6" t="n"/>
      <c r="B120" s="10" t="n"/>
      <c r="C120" s="10" t="n"/>
      <c r="D120" s="10" t="n"/>
      <c r="E120" s="3" t="n"/>
      <c r="F120" s="4">
        <f>IF(E120="","",Goal!$B$4)</f>
        <v/>
      </c>
      <c r="G120" s="5">
        <f>IF(E120="","",E120*F120)</f>
        <v/>
      </c>
      <c r="H120" s="10" t="n"/>
      <c r="I120" s="6" t="n"/>
      <c r="J120" s="6" t="n"/>
      <c r="K120" s="5">
        <f>IF(E120="","",E120-G120-N(M120))</f>
        <v/>
      </c>
      <c r="L120" s="10" t="n"/>
      <c r="M120" s="3" t="n"/>
      <c r="N120" s="5">
        <f>IF(OR(E120="",H120="",H120=0),"",K120/H120)</f>
        <v/>
      </c>
      <c r="O120" s="10" t="n"/>
    </row>
    <row r="121">
      <c r="A121" s="6" t="n"/>
      <c r="B121" s="10" t="n"/>
      <c r="C121" s="10" t="n"/>
      <c r="D121" s="10" t="n"/>
      <c r="E121" s="3" t="n"/>
      <c r="F121" s="4">
        <f>IF(E121="","",Goal!$B$4)</f>
        <v/>
      </c>
      <c r="G121" s="5">
        <f>IF(E121="","",E121*F121)</f>
        <v/>
      </c>
      <c r="H121" s="10" t="n"/>
      <c r="I121" s="6" t="n"/>
      <c r="J121" s="6" t="n"/>
      <c r="K121" s="5">
        <f>IF(E121="","",E121-G121-N(M121))</f>
        <v/>
      </c>
      <c r="L121" s="10" t="n"/>
      <c r="M121" s="3" t="n"/>
      <c r="N121" s="5">
        <f>IF(OR(E121="",H121="",H121=0),"",K121/H121)</f>
        <v/>
      </c>
      <c r="O121" s="10" t="n"/>
    </row>
    <row r="122">
      <c r="A122" s="6" t="n"/>
      <c r="B122" s="10" t="n"/>
      <c r="C122" s="10" t="n"/>
      <c r="D122" s="10" t="n"/>
      <c r="E122" s="3" t="n"/>
      <c r="F122" s="4">
        <f>IF(E122="","",Goal!$B$4)</f>
        <v/>
      </c>
      <c r="G122" s="5">
        <f>IF(E122="","",E122*F122)</f>
        <v/>
      </c>
      <c r="H122" s="10" t="n"/>
      <c r="I122" s="6" t="n"/>
      <c r="J122" s="6" t="n"/>
      <c r="K122" s="5">
        <f>IF(E122="","",E122-G122-N(M122))</f>
        <v/>
      </c>
      <c r="L122" s="10" t="n"/>
      <c r="M122" s="3" t="n"/>
      <c r="N122" s="5">
        <f>IF(OR(E122="",H122="",H122=0),"",K122/H122)</f>
        <v/>
      </c>
      <c r="O122" s="10" t="n"/>
    </row>
    <row r="123">
      <c r="A123" s="6" t="n"/>
      <c r="B123" s="10" t="n"/>
      <c r="C123" s="10" t="n"/>
      <c r="D123" s="10" t="n"/>
      <c r="E123" s="3" t="n"/>
      <c r="F123" s="4">
        <f>IF(E123="","",Goal!$B$4)</f>
        <v/>
      </c>
      <c r="G123" s="5">
        <f>IF(E123="","",E123*F123)</f>
        <v/>
      </c>
      <c r="H123" s="10" t="n"/>
      <c r="I123" s="6" t="n"/>
      <c r="J123" s="6" t="n"/>
      <c r="K123" s="5">
        <f>IF(E123="","",E123-G123-N(M123))</f>
        <v/>
      </c>
      <c r="L123" s="10" t="n"/>
      <c r="M123" s="3" t="n"/>
      <c r="N123" s="5">
        <f>IF(OR(E123="",H123="",H123=0),"",K123/H123)</f>
        <v/>
      </c>
      <c r="O123" s="10" t="n"/>
    </row>
    <row r="124">
      <c r="A124" s="6" t="n"/>
      <c r="B124" s="10" t="n"/>
      <c r="C124" s="10" t="n"/>
      <c r="D124" s="10" t="n"/>
      <c r="E124" s="3" t="n"/>
      <c r="F124" s="4">
        <f>IF(E124="","",Goal!$B$4)</f>
        <v/>
      </c>
      <c r="G124" s="5">
        <f>IF(E124="","",E124*F124)</f>
        <v/>
      </c>
      <c r="H124" s="10" t="n"/>
      <c r="I124" s="6" t="n"/>
      <c r="J124" s="6" t="n"/>
      <c r="K124" s="5">
        <f>IF(E124="","",E124-G124-N(M124))</f>
        <v/>
      </c>
      <c r="L124" s="10" t="n"/>
      <c r="M124" s="3" t="n"/>
      <c r="N124" s="5">
        <f>IF(OR(E124="",H124="",H124=0),"",K124/H124)</f>
        <v/>
      </c>
      <c r="O124" s="10" t="n"/>
    </row>
    <row r="125">
      <c r="A125" s="6" t="n"/>
      <c r="B125" s="10" t="n"/>
      <c r="C125" s="10" t="n"/>
      <c r="D125" s="10" t="n"/>
      <c r="E125" s="3" t="n"/>
      <c r="F125" s="4">
        <f>IF(E125="","",Goal!$B$4)</f>
        <v/>
      </c>
      <c r="G125" s="5">
        <f>IF(E125="","",E125*F125)</f>
        <v/>
      </c>
      <c r="H125" s="10" t="n"/>
      <c r="I125" s="6" t="n"/>
      <c r="J125" s="6" t="n"/>
      <c r="K125" s="5">
        <f>IF(E125="","",E125-G125-N(M125))</f>
        <v/>
      </c>
      <c r="L125" s="10" t="n"/>
      <c r="M125" s="3" t="n"/>
      <c r="N125" s="5">
        <f>IF(OR(E125="",H125="",H125=0),"",K125/H125)</f>
        <v/>
      </c>
      <c r="O125" s="10" t="n"/>
    </row>
    <row r="126">
      <c r="A126" s="6" t="n"/>
      <c r="B126" s="10" t="n"/>
      <c r="C126" s="10" t="n"/>
      <c r="D126" s="10" t="n"/>
      <c r="E126" s="3" t="n"/>
      <c r="F126" s="4">
        <f>IF(E126="","",Goal!$B$4)</f>
        <v/>
      </c>
      <c r="G126" s="5">
        <f>IF(E126="","",E126*F126)</f>
        <v/>
      </c>
      <c r="H126" s="10" t="n"/>
      <c r="I126" s="6" t="n"/>
      <c r="J126" s="6" t="n"/>
      <c r="K126" s="5">
        <f>IF(E126="","",E126-G126-N(M126))</f>
        <v/>
      </c>
      <c r="L126" s="10" t="n"/>
      <c r="M126" s="3" t="n"/>
      <c r="N126" s="5">
        <f>IF(OR(E126="",H126="",H126=0),"",K126/H126)</f>
        <v/>
      </c>
      <c r="O126" s="10" t="n"/>
    </row>
    <row r="127">
      <c r="A127" s="6" t="n"/>
      <c r="B127" s="10" t="n"/>
      <c r="C127" s="10" t="n"/>
      <c r="D127" s="10" t="n"/>
      <c r="E127" s="3" t="n"/>
      <c r="F127" s="4">
        <f>IF(E127="","",Goal!$B$4)</f>
        <v/>
      </c>
      <c r="G127" s="5">
        <f>IF(E127="","",E127*F127)</f>
        <v/>
      </c>
      <c r="H127" s="10" t="n"/>
      <c r="I127" s="6" t="n"/>
      <c r="J127" s="6" t="n"/>
      <c r="K127" s="5">
        <f>IF(E127="","",E127-G127-N(M127))</f>
        <v/>
      </c>
      <c r="L127" s="10" t="n"/>
      <c r="M127" s="3" t="n"/>
      <c r="N127" s="5">
        <f>IF(OR(E127="",H127="",H127=0),"",K127/H127)</f>
        <v/>
      </c>
      <c r="O127" s="10" t="n"/>
    </row>
    <row r="128">
      <c r="A128" s="6" t="n"/>
      <c r="B128" s="10" t="n"/>
      <c r="C128" s="10" t="n"/>
      <c r="D128" s="10" t="n"/>
      <c r="E128" s="3" t="n"/>
      <c r="F128" s="4">
        <f>IF(E128="","",Goal!$B$4)</f>
        <v/>
      </c>
      <c r="G128" s="5">
        <f>IF(E128="","",E128*F128)</f>
        <v/>
      </c>
      <c r="H128" s="10" t="n"/>
      <c r="I128" s="6" t="n"/>
      <c r="J128" s="6" t="n"/>
      <c r="K128" s="5">
        <f>IF(E128="","",E128-G128-N(M128))</f>
        <v/>
      </c>
      <c r="L128" s="10" t="n"/>
      <c r="M128" s="3" t="n"/>
      <c r="N128" s="5">
        <f>IF(OR(E128="",H128="",H128=0),"",K128/H128)</f>
        <v/>
      </c>
      <c r="O128" s="10" t="n"/>
    </row>
    <row r="129">
      <c r="A129" s="6" t="n"/>
      <c r="B129" s="10" t="n"/>
      <c r="C129" s="10" t="n"/>
      <c r="D129" s="10" t="n"/>
      <c r="E129" s="3" t="n"/>
      <c r="F129" s="4">
        <f>IF(E129="","",Goal!$B$4)</f>
        <v/>
      </c>
      <c r="G129" s="5">
        <f>IF(E129="","",E129*F129)</f>
        <v/>
      </c>
      <c r="H129" s="10" t="n"/>
      <c r="I129" s="6" t="n"/>
      <c r="J129" s="6" t="n"/>
      <c r="K129" s="5">
        <f>IF(E129="","",E129-G129-N(M129))</f>
        <v/>
      </c>
      <c r="L129" s="10" t="n"/>
      <c r="M129" s="3" t="n"/>
      <c r="N129" s="5">
        <f>IF(OR(E129="",H129="",H129=0),"",K129/H129)</f>
        <v/>
      </c>
      <c r="O129" s="10" t="n"/>
    </row>
    <row r="130">
      <c r="A130" s="6" t="n"/>
      <c r="B130" s="10" t="n"/>
      <c r="C130" s="10" t="n"/>
      <c r="D130" s="10" t="n"/>
      <c r="E130" s="3" t="n"/>
      <c r="F130" s="4">
        <f>IF(E130="","",Goal!$B$4)</f>
        <v/>
      </c>
      <c r="G130" s="5">
        <f>IF(E130="","",E130*F130)</f>
        <v/>
      </c>
      <c r="H130" s="10" t="n"/>
      <c r="I130" s="6" t="n"/>
      <c r="J130" s="6" t="n"/>
      <c r="K130" s="5">
        <f>IF(E130="","",E130-G130-N(M130))</f>
        <v/>
      </c>
      <c r="L130" s="10" t="n"/>
      <c r="M130" s="3" t="n"/>
      <c r="N130" s="5">
        <f>IF(OR(E130="",H130="",H130=0),"",K130/H130)</f>
        <v/>
      </c>
      <c r="O130" s="10" t="n"/>
    </row>
    <row r="131">
      <c r="A131" s="6" t="n"/>
      <c r="B131" s="10" t="n"/>
      <c r="C131" s="10" t="n"/>
      <c r="D131" s="10" t="n"/>
      <c r="E131" s="3" t="n"/>
      <c r="F131" s="4">
        <f>IF(E131="","",Goal!$B$4)</f>
        <v/>
      </c>
      <c r="G131" s="5">
        <f>IF(E131="","",E131*F131)</f>
        <v/>
      </c>
      <c r="H131" s="10" t="n"/>
      <c r="I131" s="6" t="n"/>
      <c r="J131" s="6" t="n"/>
      <c r="K131" s="5">
        <f>IF(E131="","",E131-G131-N(M131))</f>
        <v/>
      </c>
      <c r="L131" s="10" t="n"/>
      <c r="M131" s="3" t="n"/>
      <c r="N131" s="5">
        <f>IF(OR(E131="",H131="",H131=0),"",K131/H131)</f>
        <v/>
      </c>
      <c r="O131" s="10" t="n"/>
    </row>
    <row r="132">
      <c r="A132" s="6" t="n"/>
      <c r="B132" s="10" t="n"/>
      <c r="C132" s="10" t="n"/>
      <c r="D132" s="10" t="n"/>
      <c r="E132" s="3" t="n"/>
      <c r="F132" s="4">
        <f>IF(E132="","",Goal!$B$4)</f>
        <v/>
      </c>
      <c r="G132" s="5">
        <f>IF(E132="","",E132*F132)</f>
        <v/>
      </c>
      <c r="H132" s="10" t="n"/>
      <c r="I132" s="6" t="n"/>
      <c r="J132" s="6" t="n"/>
      <c r="K132" s="5">
        <f>IF(E132="","",E132-G132-N(M132))</f>
        <v/>
      </c>
      <c r="L132" s="10" t="n"/>
      <c r="M132" s="3" t="n"/>
      <c r="N132" s="5">
        <f>IF(OR(E132="",H132="",H132=0),"",K132/H132)</f>
        <v/>
      </c>
      <c r="O132" s="10" t="n"/>
    </row>
    <row r="133">
      <c r="A133" s="6" t="n"/>
      <c r="B133" s="10" t="n"/>
      <c r="C133" s="10" t="n"/>
      <c r="D133" s="10" t="n"/>
      <c r="E133" s="3" t="n"/>
      <c r="F133" s="4">
        <f>IF(E133="","",Goal!$B$4)</f>
        <v/>
      </c>
      <c r="G133" s="5">
        <f>IF(E133="","",E133*F133)</f>
        <v/>
      </c>
      <c r="H133" s="10" t="n"/>
      <c r="I133" s="6" t="n"/>
      <c r="J133" s="6" t="n"/>
      <c r="K133" s="5">
        <f>IF(E133="","",E133-G133-N(M133))</f>
        <v/>
      </c>
      <c r="L133" s="10" t="n"/>
      <c r="M133" s="3" t="n"/>
      <c r="N133" s="5">
        <f>IF(OR(E133="",H133="",H133=0),"",K133/H133)</f>
        <v/>
      </c>
      <c r="O133" s="10" t="n"/>
    </row>
    <row r="134">
      <c r="A134" s="6" t="n"/>
      <c r="B134" s="10" t="n"/>
      <c r="C134" s="10" t="n"/>
      <c r="D134" s="10" t="n"/>
      <c r="E134" s="3" t="n"/>
      <c r="F134" s="4">
        <f>IF(E134="","",Goal!$B$4)</f>
        <v/>
      </c>
      <c r="G134" s="5">
        <f>IF(E134="","",E134*F134)</f>
        <v/>
      </c>
      <c r="H134" s="10" t="n"/>
      <c r="I134" s="6" t="n"/>
      <c r="J134" s="6" t="n"/>
      <c r="K134" s="5">
        <f>IF(E134="","",E134-G134-N(M134))</f>
        <v/>
      </c>
      <c r="L134" s="10" t="n"/>
      <c r="M134" s="3" t="n"/>
      <c r="N134" s="5">
        <f>IF(OR(E134="",H134="",H134=0),"",K134/H134)</f>
        <v/>
      </c>
      <c r="O134" s="10" t="n"/>
    </row>
    <row r="135">
      <c r="A135" s="6" t="n"/>
      <c r="B135" s="10" t="n"/>
      <c r="C135" s="10" t="n"/>
      <c r="D135" s="10" t="n"/>
      <c r="E135" s="3" t="n"/>
      <c r="F135" s="4">
        <f>IF(E135="","",Goal!$B$4)</f>
        <v/>
      </c>
      <c r="G135" s="5">
        <f>IF(E135="","",E135*F135)</f>
        <v/>
      </c>
      <c r="H135" s="10" t="n"/>
      <c r="I135" s="6" t="n"/>
      <c r="J135" s="6" t="n"/>
      <c r="K135" s="5">
        <f>IF(E135="","",E135-G135-N(M135))</f>
        <v/>
      </c>
      <c r="L135" s="10" t="n"/>
      <c r="M135" s="3" t="n"/>
      <c r="N135" s="5">
        <f>IF(OR(E135="",H135="",H135=0),"",K135/H135)</f>
        <v/>
      </c>
      <c r="O135" s="10" t="n"/>
    </row>
    <row r="136">
      <c r="A136" s="6" t="n"/>
      <c r="B136" s="10" t="n"/>
      <c r="C136" s="10" t="n"/>
      <c r="D136" s="10" t="n"/>
      <c r="E136" s="3" t="n"/>
      <c r="F136" s="4">
        <f>IF(E136="","",Goal!$B$4)</f>
        <v/>
      </c>
      <c r="G136" s="5">
        <f>IF(E136="","",E136*F136)</f>
        <v/>
      </c>
      <c r="H136" s="10" t="n"/>
      <c r="I136" s="6" t="n"/>
      <c r="J136" s="6" t="n"/>
      <c r="K136" s="5">
        <f>IF(E136="","",E136-G136-N(M136))</f>
        <v/>
      </c>
      <c r="L136" s="10" t="n"/>
      <c r="M136" s="3" t="n"/>
      <c r="N136" s="5">
        <f>IF(OR(E136="",H136="",H136=0),"",K136/H136)</f>
        <v/>
      </c>
      <c r="O136" s="10" t="n"/>
    </row>
    <row r="137">
      <c r="A137" s="6" t="n"/>
      <c r="B137" s="10" t="n"/>
      <c r="C137" s="10" t="n"/>
      <c r="D137" s="10" t="n"/>
      <c r="E137" s="3" t="n"/>
      <c r="F137" s="4">
        <f>IF(E137="","",Goal!$B$4)</f>
        <v/>
      </c>
      <c r="G137" s="5">
        <f>IF(E137="","",E137*F137)</f>
        <v/>
      </c>
      <c r="H137" s="10" t="n"/>
      <c r="I137" s="6" t="n"/>
      <c r="J137" s="6" t="n"/>
      <c r="K137" s="5">
        <f>IF(E137="","",E137-G137-N(M137))</f>
        <v/>
      </c>
      <c r="L137" s="10" t="n"/>
      <c r="M137" s="3" t="n"/>
      <c r="N137" s="5">
        <f>IF(OR(E137="",H137="",H137=0),"",K137/H137)</f>
        <v/>
      </c>
      <c r="O137" s="10" t="n"/>
    </row>
    <row r="138">
      <c r="A138" s="6" t="n"/>
      <c r="B138" s="10" t="n"/>
      <c r="C138" s="10" t="n"/>
      <c r="D138" s="10" t="n"/>
      <c r="E138" s="3" t="n"/>
      <c r="F138" s="4">
        <f>IF(E138="","",Goal!$B$4)</f>
        <v/>
      </c>
      <c r="G138" s="5">
        <f>IF(E138="","",E138*F138)</f>
        <v/>
      </c>
      <c r="H138" s="10" t="n"/>
      <c r="I138" s="6" t="n"/>
      <c r="J138" s="6" t="n"/>
      <c r="K138" s="5">
        <f>IF(E138="","",E138-G138-N(M138))</f>
        <v/>
      </c>
      <c r="L138" s="10" t="n"/>
      <c r="M138" s="3" t="n"/>
      <c r="N138" s="5">
        <f>IF(OR(E138="",H138="",H138=0),"",K138/H138)</f>
        <v/>
      </c>
      <c r="O138" s="10" t="n"/>
    </row>
    <row r="139">
      <c r="A139" s="6" t="n"/>
      <c r="B139" s="10" t="n"/>
      <c r="C139" s="10" t="n"/>
      <c r="D139" s="10" t="n"/>
      <c r="E139" s="3" t="n"/>
      <c r="F139" s="4">
        <f>IF(E139="","",Goal!$B$4)</f>
        <v/>
      </c>
      <c r="G139" s="5">
        <f>IF(E139="","",E139*F139)</f>
        <v/>
      </c>
      <c r="H139" s="10" t="n"/>
      <c r="I139" s="6" t="n"/>
      <c r="J139" s="6" t="n"/>
      <c r="K139" s="5">
        <f>IF(E139="","",E139-G139-N(M139))</f>
        <v/>
      </c>
      <c r="L139" s="10" t="n"/>
      <c r="M139" s="3" t="n"/>
      <c r="N139" s="5">
        <f>IF(OR(E139="",H139="",H139=0),"",K139/H139)</f>
        <v/>
      </c>
      <c r="O139" s="10" t="n"/>
    </row>
    <row r="140">
      <c r="A140" s="6" t="n"/>
      <c r="B140" s="10" t="n"/>
      <c r="C140" s="10" t="n"/>
      <c r="D140" s="10" t="n"/>
      <c r="E140" s="3" t="n"/>
      <c r="F140" s="4">
        <f>IF(E140="","",Goal!$B$4)</f>
        <v/>
      </c>
      <c r="G140" s="5">
        <f>IF(E140="","",E140*F140)</f>
        <v/>
      </c>
      <c r="H140" s="10" t="n"/>
      <c r="I140" s="6" t="n"/>
      <c r="J140" s="6" t="n"/>
      <c r="K140" s="5">
        <f>IF(E140="","",E140-G140-N(M140))</f>
        <v/>
      </c>
      <c r="L140" s="10" t="n"/>
      <c r="M140" s="3" t="n"/>
      <c r="N140" s="5">
        <f>IF(OR(E140="",H140="",H140=0),"",K140/H140)</f>
        <v/>
      </c>
      <c r="O140" s="10" t="n"/>
    </row>
    <row r="141">
      <c r="A141" s="6" t="n"/>
      <c r="B141" s="10" t="n"/>
      <c r="C141" s="10" t="n"/>
      <c r="D141" s="10" t="n"/>
      <c r="E141" s="3" t="n"/>
      <c r="F141" s="4">
        <f>IF(E141="","",Goal!$B$4)</f>
        <v/>
      </c>
      <c r="G141" s="5">
        <f>IF(E141="","",E141*F141)</f>
        <v/>
      </c>
      <c r="H141" s="10" t="n"/>
      <c r="I141" s="6" t="n"/>
      <c r="J141" s="6" t="n"/>
      <c r="K141" s="5">
        <f>IF(E141="","",E141-G141-N(M141))</f>
        <v/>
      </c>
      <c r="L141" s="10" t="n"/>
      <c r="M141" s="3" t="n"/>
      <c r="N141" s="5">
        <f>IF(OR(E141="",H141="",H141=0),"",K141/H141)</f>
        <v/>
      </c>
      <c r="O141" s="10" t="n"/>
    </row>
    <row r="142">
      <c r="A142" s="6" t="n"/>
      <c r="B142" s="10" t="n"/>
      <c r="C142" s="10" t="n"/>
      <c r="D142" s="10" t="n"/>
      <c r="E142" s="3" t="n"/>
      <c r="F142" s="4">
        <f>IF(E142="","",Goal!$B$4)</f>
        <v/>
      </c>
      <c r="G142" s="5">
        <f>IF(E142="","",E142*F142)</f>
        <v/>
      </c>
      <c r="H142" s="10" t="n"/>
      <c r="I142" s="6" t="n"/>
      <c r="J142" s="6" t="n"/>
      <c r="K142" s="5">
        <f>IF(E142="","",E142-G142-N(M142))</f>
        <v/>
      </c>
      <c r="L142" s="10" t="n"/>
      <c r="M142" s="3" t="n"/>
      <c r="N142" s="5">
        <f>IF(OR(E142="",H142="",H142=0),"",K142/H142)</f>
        <v/>
      </c>
      <c r="O142" s="10" t="n"/>
    </row>
    <row r="143">
      <c r="A143" s="6" t="n"/>
      <c r="B143" s="10" t="n"/>
      <c r="C143" s="10" t="n"/>
      <c r="D143" s="10" t="n"/>
      <c r="E143" s="3" t="n"/>
      <c r="F143" s="4">
        <f>IF(E143="","",Goal!$B$4)</f>
        <v/>
      </c>
      <c r="G143" s="5">
        <f>IF(E143="","",E143*F143)</f>
        <v/>
      </c>
      <c r="H143" s="10" t="n"/>
      <c r="I143" s="6" t="n"/>
      <c r="J143" s="6" t="n"/>
      <c r="K143" s="5">
        <f>IF(E143="","",E143-G143-N(M143))</f>
        <v/>
      </c>
      <c r="L143" s="10" t="n"/>
      <c r="M143" s="3" t="n"/>
      <c r="N143" s="5">
        <f>IF(OR(E143="",H143="",H143=0),"",K143/H143)</f>
        <v/>
      </c>
      <c r="O143" s="10" t="n"/>
    </row>
    <row r="144">
      <c r="A144" s="6" t="n"/>
      <c r="B144" s="10" t="n"/>
      <c r="C144" s="10" t="n"/>
      <c r="D144" s="10" t="n"/>
      <c r="E144" s="3" t="n"/>
      <c r="F144" s="4">
        <f>IF(E144="","",Goal!$B$4)</f>
        <v/>
      </c>
      <c r="G144" s="5">
        <f>IF(E144="","",E144*F144)</f>
        <v/>
      </c>
      <c r="H144" s="10" t="n"/>
      <c r="I144" s="6" t="n"/>
      <c r="J144" s="6" t="n"/>
      <c r="K144" s="5">
        <f>IF(E144="","",E144-G144-N(M144))</f>
        <v/>
      </c>
      <c r="L144" s="10" t="n"/>
      <c r="M144" s="3" t="n"/>
      <c r="N144" s="5">
        <f>IF(OR(E144="",H144="",H144=0),"",K144/H144)</f>
        <v/>
      </c>
      <c r="O144" s="10" t="n"/>
    </row>
    <row r="145">
      <c r="A145" s="6" t="n"/>
      <c r="B145" s="10" t="n"/>
      <c r="C145" s="10" t="n"/>
      <c r="D145" s="10" t="n"/>
      <c r="E145" s="3" t="n"/>
      <c r="F145" s="4">
        <f>IF(E145="","",Goal!$B$4)</f>
        <v/>
      </c>
      <c r="G145" s="5">
        <f>IF(E145="","",E145*F145)</f>
        <v/>
      </c>
      <c r="H145" s="10" t="n"/>
      <c r="I145" s="6" t="n"/>
      <c r="J145" s="6" t="n"/>
      <c r="K145" s="5">
        <f>IF(E145="","",E145-G145-N(M145))</f>
        <v/>
      </c>
      <c r="L145" s="10" t="n"/>
      <c r="M145" s="3" t="n"/>
      <c r="N145" s="5">
        <f>IF(OR(E145="",H145="",H145=0),"",K145/H145)</f>
        <v/>
      </c>
      <c r="O145" s="10" t="n"/>
    </row>
    <row r="146">
      <c r="A146" s="6" t="n"/>
      <c r="B146" s="10" t="n"/>
      <c r="C146" s="10" t="n"/>
      <c r="D146" s="10" t="n"/>
      <c r="E146" s="3" t="n"/>
      <c r="F146" s="4">
        <f>IF(E146="","",Goal!$B$4)</f>
        <v/>
      </c>
      <c r="G146" s="5">
        <f>IF(E146="","",E146*F146)</f>
        <v/>
      </c>
      <c r="H146" s="10" t="n"/>
      <c r="I146" s="6" t="n"/>
      <c r="J146" s="6" t="n"/>
      <c r="K146" s="5">
        <f>IF(E146="","",E146-G146-N(M146))</f>
        <v/>
      </c>
      <c r="L146" s="10" t="n"/>
      <c r="M146" s="3" t="n"/>
      <c r="N146" s="5">
        <f>IF(OR(E146="",H146="",H146=0),"",K146/H146)</f>
        <v/>
      </c>
      <c r="O146" s="10" t="n"/>
    </row>
    <row r="147">
      <c r="A147" s="6" t="n"/>
      <c r="B147" s="10" t="n"/>
      <c r="C147" s="10" t="n"/>
      <c r="D147" s="10" t="n"/>
      <c r="E147" s="3" t="n"/>
      <c r="F147" s="4">
        <f>IF(E147="","",Goal!$B$4)</f>
        <v/>
      </c>
      <c r="G147" s="5">
        <f>IF(E147="","",E147*F147)</f>
        <v/>
      </c>
      <c r="H147" s="10" t="n"/>
      <c r="I147" s="6" t="n"/>
      <c r="J147" s="6" t="n"/>
      <c r="K147" s="5">
        <f>IF(E147="","",E147-G147-N(M147))</f>
        <v/>
      </c>
      <c r="L147" s="10" t="n"/>
      <c r="M147" s="3" t="n"/>
      <c r="N147" s="5">
        <f>IF(OR(E147="",H147="",H147=0),"",K147/H147)</f>
        <v/>
      </c>
      <c r="O147" s="10" t="n"/>
    </row>
    <row r="148">
      <c r="A148" s="6" t="n"/>
      <c r="B148" s="10" t="n"/>
      <c r="C148" s="10" t="n"/>
      <c r="D148" s="10" t="n"/>
      <c r="E148" s="3" t="n"/>
      <c r="F148" s="4">
        <f>IF(E148="","",Goal!$B$4)</f>
        <v/>
      </c>
      <c r="G148" s="5">
        <f>IF(E148="","",E148*F148)</f>
        <v/>
      </c>
      <c r="H148" s="10" t="n"/>
      <c r="I148" s="6" t="n"/>
      <c r="J148" s="6" t="n"/>
      <c r="K148" s="5">
        <f>IF(E148="","",E148-G148-N(M148))</f>
        <v/>
      </c>
      <c r="L148" s="10" t="n"/>
      <c r="M148" s="3" t="n"/>
      <c r="N148" s="5">
        <f>IF(OR(E148="",H148="",H148=0),"",K148/H148)</f>
        <v/>
      </c>
      <c r="O148" s="10" t="n"/>
    </row>
    <row r="149">
      <c r="A149" s="6" t="n"/>
      <c r="B149" s="10" t="n"/>
      <c r="C149" s="10" t="n"/>
      <c r="D149" s="10" t="n"/>
      <c r="E149" s="3" t="n"/>
      <c r="F149" s="4">
        <f>IF(E149="","",Goal!$B$4)</f>
        <v/>
      </c>
      <c r="G149" s="5">
        <f>IF(E149="","",E149*F149)</f>
        <v/>
      </c>
      <c r="H149" s="10" t="n"/>
      <c r="I149" s="6" t="n"/>
      <c r="J149" s="6" t="n"/>
      <c r="K149" s="5">
        <f>IF(E149="","",E149-G149-N(M149))</f>
        <v/>
      </c>
      <c r="L149" s="10" t="n"/>
      <c r="M149" s="3" t="n"/>
      <c r="N149" s="5">
        <f>IF(OR(E149="",H149="",H149=0),"",K149/H149)</f>
        <v/>
      </c>
      <c r="O149" s="10" t="n"/>
    </row>
    <row r="150">
      <c r="A150" s="6" t="n"/>
      <c r="B150" s="10" t="n"/>
      <c r="C150" s="10" t="n"/>
      <c r="D150" s="10" t="n"/>
      <c r="E150" s="3" t="n"/>
      <c r="F150" s="4">
        <f>IF(E150="","",Goal!$B$4)</f>
        <v/>
      </c>
      <c r="G150" s="5">
        <f>IF(E150="","",E150*F150)</f>
        <v/>
      </c>
      <c r="H150" s="10" t="n"/>
      <c r="I150" s="6" t="n"/>
      <c r="J150" s="6" t="n"/>
      <c r="K150" s="5">
        <f>IF(E150="","",E150-G150-N(M150))</f>
        <v/>
      </c>
      <c r="L150" s="10" t="n"/>
      <c r="M150" s="3" t="n"/>
      <c r="N150" s="5">
        <f>IF(OR(E150="",H150="",H150=0),"",K150/H150)</f>
        <v/>
      </c>
      <c r="O150" s="10" t="n"/>
    </row>
    <row r="151">
      <c r="A151" s="6" t="n"/>
      <c r="B151" s="10" t="n"/>
      <c r="C151" s="10" t="n"/>
      <c r="D151" s="10" t="n"/>
      <c r="E151" s="3" t="n"/>
      <c r="F151" s="4">
        <f>IF(E151="","",Goal!$B$4)</f>
        <v/>
      </c>
      <c r="G151" s="5">
        <f>IF(E151="","",E151*F151)</f>
        <v/>
      </c>
      <c r="H151" s="10" t="n"/>
      <c r="I151" s="6" t="n"/>
      <c r="J151" s="6" t="n"/>
      <c r="K151" s="5">
        <f>IF(E151="","",E151-G151-N(M151))</f>
        <v/>
      </c>
      <c r="L151" s="10" t="n"/>
      <c r="M151" s="3" t="n"/>
      <c r="N151" s="5">
        <f>IF(OR(E151="",H151="",H151=0),"",K151/H151)</f>
        <v/>
      </c>
      <c r="O151" s="10" t="n"/>
    </row>
    <row r="152">
      <c r="A152" s="6" t="n"/>
      <c r="B152" s="10" t="n"/>
      <c r="C152" s="10" t="n"/>
      <c r="D152" s="10" t="n"/>
      <c r="E152" s="3" t="n"/>
      <c r="F152" s="4">
        <f>IF(E152="","",Goal!$B$4)</f>
        <v/>
      </c>
      <c r="G152" s="5">
        <f>IF(E152="","",E152*F152)</f>
        <v/>
      </c>
      <c r="H152" s="10" t="n"/>
      <c r="I152" s="6" t="n"/>
      <c r="J152" s="6" t="n"/>
      <c r="K152" s="5">
        <f>IF(E152="","",E152-G152-N(M152))</f>
        <v/>
      </c>
      <c r="L152" s="10" t="n"/>
      <c r="M152" s="3" t="n"/>
      <c r="N152" s="5">
        <f>IF(OR(E152="",H152="",H152=0),"",K152/H152)</f>
        <v/>
      </c>
      <c r="O152" s="10" t="n"/>
    </row>
    <row r="153">
      <c r="A153" s="6" t="n"/>
      <c r="B153" s="10" t="n"/>
      <c r="C153" s="10" t="n"/>
      <c r="D153" s="10" t="n"/>
      <c r="E153" s="3" t="n"/>
      <c r="F153" s="4">
        <f>IF(E153="","",Goal!$B$4)</f>
        <v/>
      </c>
      <c r="G153" s="5">
        <f>IF(E153="","",E153*F153)</f>
        <v/>
      </c>
      <c r="H153" s="10" t="n"/>
      <c r="I153" s="6" t="n"/>
      <c r="J153" s="6" t="n"/>
      <c r="K153" s="5">
        <f>IF(E153="","",E153-G153-N(M153))</f>
        <v/>
      </c>
      <c r="L153" s="10" t="n"/>
      <c r="M153" s="3" t="n"/>
      <c r="N153" s="5">
        <f>IF(OR(E153="",H153="",H153=0),"",K153/H153)</f>
        <v/>
      </c>
      <c r="O153" s="10" t="n"/>
    </row>
    <row r="154">
      <c r="A154" s="6" t="n"/>
      <c r="B154" s="10" t="n"/>
      <c r="C154" s="10" t="n"/>
      <c r="D154" s="10" t="n"/>
      <c r="E154" s="3" t="n"/>
      <c r="F154" s="4">
        <f>IF(E154="","",Goal!$B$4)</f>
        <v/>
      </c>
      <c r="G154" s="5">
        <f>IF(E154="","",E154*F154)</f>
        <v/>
      </c>
      <c r="H154" s="10" t="n"/>
      <c r="I154" s="6" t="n"/>
      <c r="J154" s="6" t="n"/>
      <c r="K154" s="5">
        <f>IF(E154="","",E154-G154-N(M154))</f>
        <v/>
      </c>
      <c r="L154" s="10" t="n"/>
      <c r="M154" s="3" t="n"/>
      <c r="N154" s="5">
        <f>IF(OR(E154="",H154="",H154=0),"",K154/H154)</f>
        <v/>
      </c>
      <c r="O154" s="10" t="n"/>
    </row>
    <row r="155">
      <c r="A155" s="6" t="n"/>
      <c r="B155" s="10" t="n"/>
      <c r="C155" s="10" t="n"/>
      <c r="D155" s="10" t="n"/>
      <c r="E155" s="3" t="n"/>
      <c r="F155" s="4">
        <f>IF(E155="","",Goal!$B$4)</f>
        <v/>
      </c>
      <c r="G155" s="5">
        <f>IF(E155="","",E155*F155)</f>
        <v/>
      </c>
      <c r="H155" s="10" t="n"/>
      <c r="I155" s="6" t="n"/>
      <c r="J155" s="6" t="n"/>
      <c r="K155" s="5">
        <f>IF(E155="","",E155-G155-N(M155))</f>
        <v/>
      </c>
      <c r="L155" s="10" t="n"/>
      <c r="M155" s="3" t="n"/>
      <c r="N155" s="5">
        <f>IF(OR(E155="",H155="",H155=0),"",K155/H155)</f>
        <v/>
      </c>
      <c r="O155" s="10" t="n"/>
    </row>
    <row r="156">
      <c r="A156" s="6" t="n"/>
      <c r="B156" s="10" t="n"/>
      <c r="C156" s="10" t="n"/>
      <c r="D156" s="10" t="n"/>
      <c r="E156" s="3" t="n"/>
      <c r="F156" s="4">
        <f>IF(E156="","",Goal!$B$4)</f>
        <v/>
      </c>
      <c r="G156" s="5">
        <f>IF(E156="","",E156*F156)</f>
        <v/>
      </c>
      <c r="H156" s="10" t="n"/>
      <c r="I156" s="6" t="n"/>
      <c r="J156" s="6" t="n"/>
      <c r="K156" s="5">
        <f>IF(E156="","",E156-G156-N(M156))</f>
        <v/>
      </c>
      <c r="L156" s="10" t="n"/>
      <c r="M156" s="3" t="n"/>
      <c r="N156" s="5">
        <f>IF(OR(E156="",H156="",H156=0),"",K156/H156)</f>
        <v/>
      </c>
      <c r="O156" s="10" t="n"/>
    </row>
    <row r="157">
      <c r="A157" s="6" t="n"/>
      <c r="B157" s="10" t="n"/>
      <c r="C157" s="10" t="n"/>
      <c r="D157" s="10" t="n"/>
      <c r="E157" s="3" t="n"/>
      <c r="F157" s="4">
        <f>IF(E157="","",Goal!$B$4)</f>
        <v/>
      </c>
      <c r="G157" s="5">
        <f>IF(E157="","",E157*F157)</f>
        <v/>
      </c>
      <c r="H157" s="10" t="n"/>
      <c r="I157" s="6" t="n"/>
      <c r="J157" s="6" t="n"/>
      <c r="K157" s="5">
        <f>IF(E157="","",E157-G157-N(M157))</f>
        <v/>
      </c>
      <c r="L157" s="10" t="n"/>
      <c r="M157" s="3" t="n"/>
      <c r="N157" s="5">
        <f>IF(OR(E157="",H157="",H157=0),"",K157/H157)</f>
        <v/>
      </c>
      <c r="O157" s="10" t="n"/>
    </row>
    <row r="158">
      <c r="A158" s="6" t="n"/>
      <c r="B158" s="10" t="n"/>
      <c r="C158" s="10" t="n"/>
      <c r="D158" s="10" t="n"/>
      <c r="E158" s="3" t="n"/>
      <c r="F158" s="4">
        <f>IF(E158="","",Goal!$B$4)</f>
        <v/>
      </c>
      <c r="G158" s="5">
        <f>IF(E158="","",E158*F158)</f>
        <v/>
      </c>
      <c r="H158" s="10" t="n"/>
      <c r="I158" s="6" t="n"/>
      <c r="J158" s="6" t="n"/>
      <c r="K158" s="5">
        <f>IF(E158="","",E158-G158-N(M158))</f>
        <v/>
      </c>
      <c r="L158" s="10" t="n"/>
      <c r="M158" s="3" t="n"/>
      <c r="N158" s="5">
        <f>IF(OR(E158="",H158="",H158=0),"",K158/H158)</f>
        <v/>
      </c>
      <c r="O158" s="10" t="n"/>
    </row>
    <row r="159">
      <c r="A159" s="6" t="n"/>
      <c r="B159" s="10" t="n"/>
      <c r="C159" s="10" t="n"/>
      <c r="D159" s="10" t="n"/>
      <c r="E159" s="3" t="n"/>
      <c r="F159" s="4">
        <f>IF(E159="","",Goal!$B$4)</f>
        <v/>
      </c>
      <c r="G159" s="5">
        <f>IF(E159="","",E159*F159)</f>
        <v/>
      </c>
      <c r="H159" s="10" t="n"/>
      <c r="I159" s="6" t="n"/>
      <c r="J159" s="6" t="n"/>
      <c r="K159" s="5">
        <f>IF(E159="","",E159-G159-N(M159))</f>
        <v/>
      </c>
      <c r="L159" s="10" t="n"/>
      <c r="M159" s="3" t="n"/>
      <c r="N159" s="5">
        <f>IF(OR(E159="",H159="",H159=0),"",K159/H159)</f>
        <v/>
      </c>
      <c r="O159" s="10" t="n"/>
    </row>
    <row r="160">
      <c r="A160" s="6" t="n"/>
      <c r="B160" s="10" t="n"/>
      <c r="C160" s="10" t="n"/>
      <c r="D160" s="10" t="n"/>
      <c r="E160" s="3" t="n"/>
      <c r="F160" s="4">
        <f>IF(E160="","",Goal!$B$4)</f>
        <v/>
      </c>
      <c r="G160" s="5">
        <f>IF(E160="","",E160*F160)</f>
        <v/>
      </c>
      <c r="H160" s="10" t="n"/>
      <c r="I160" s="6" t="n"/>
      <c r="J160" s="6" t="n"/>
      <c r="K160" s="5">
        <f>IF(E160="","",E160-G160-N(M160))</f>
        <v/>
      </c>
      <c r="L160" s="10" t="n"/>
      <c r="M160" s="3" t="n"/>
      <c r="N160" s="5">
        <f>IF(OR(E160="",H160="",H160=0),"",K160/H160)</f>
        <v/>
      </c>
      <c r="O160" s="10" t="n"/>
    </row>
    <row r="161">
      <c r="A161" s="6" t="n"/>
      <c r="B161" s="10" t="n"/>
      <c r="C161" s="10" t="n"/>
      <c r="D161" s="10" t="n"/>
      <c r="E161" s="3" t="n"/>
      <c r="F161" s="4">
        <f>IF(E161="","",Goal!$B$4)</f>
        <v/>
      </c>
      <c r="G161" s="5">
        <f>IF(E161="","",E161*F161)</f>
        <v/>
      </c>
      <c r="H161" s="10" t="n"/>
      <c r="I161" s="6" t="n"/>
      <c r="J161" s="6" t="n"/>
      <c r="K161" s="5">
        <f>IF(E161="","",E161-G161-N(M161))</f>
        <v/>
      </c>
      <c r="L161" s="10" t="n"/>
      <c r="M161" s="3" t="n"/>
      <c r="N161" s="5">
        <f>IF(OR(E161="",H161="",H161=0),"",K161/H161)</f>
        <v/>
      </c>
      <c r="O161" s="10" t="n"/>
    </row>
    <row r="162">
      <c r="A162" s="6" t="n"/>
      <c r="B162" s="10" t="n"/>
      <c r="C162" s="10" t="n"/>
      <c r="D162" s="10" t="n"/>
      <c r="E162" s="3" t="n"/>
      <c r="F162" s="4">
        <f>IF(E162="","",Goal!$B$4)</f>
        <v/>
      </c>
      <c r="G162" s="5">
        <f>IF(E162="","",E162*F162)</f>
        <v/>
      </c>
      <c r="H162" s="10" t="n"/>
      <c r="I162" s="6" t="n"/>
      <c r="J162" s="6" t="n"/>
      <c r="K162" s="5">
        <f>IF(E162="","",E162-G162-N(M162))</f>
        <v/>
      </c>
      <c r="L162" s="10" t="n"/>
      <c r="M162" s="3" t="n"/>
      <c r="N162" s="5">
        <f>IF(OR(E162="",H162="",H162=0),"",K162/H162)</f>
        <v/>
      </c>
      <c r="O162" s="10" t="n"/>
    </row>
    <row r="163">
      <c r="A163" s="6" t="n"/>
      <c r="B163" s="10" t="n"/>
      <c r="C163" s="10" t="n"/>
      <c r="D163" s="10" t="n"/>
      <c r="E163" s="3" t="n"/>
      <c r="F163" s="4">
        <f>IF(E163="","",Goal!$B$4)</f>
        <v/>
      </c>
      <c r="G163" s="5">
        <f>IF(E163="","",E163*F163)</f>
        <v/>
      </c>
      <c r="H163" s="10" t="n"/>
      <c r="I163" s="6" t="n"/>
      <c r="J163" s="6" t="n"/>
      <c r="K163" s="5">
        <f>IF(E163="","",E163-G163-N(M163))</f>
        <v/>
      </c>
      <c r="L163" s="10" t="n"/>
      <c r="M163" s="3" t="n"/>
      <c r="N163" s="5">
        <f>IF(OR(E163="",H163="",H163=0),"",K163/H163)</f>
        <v/>
      </c>
      <c r="O163" s="10" t="n"/>
    </row>
    <row r="164">
      <c r="A164" s="6" t="n"/>
      <c r="B164" s="10" t="n"/>
      <c r="C164" s="10" t="n"/>
      <c r="D164" s="10" t="n"/>
      <c r="E164" s="3" t="n"/>
      <c r="F164" s="4">
        <f>IF(E164="","",Goal!$B$4)</f>
        <v/>
      </c>
      <c r="G164" s="5">
        <f>IF(E164="","",E164*F164)</f>
        <v/>
      </c>
      <c r="H164" s="10" t="n"/>
      <c r="I164" s="6" t="n"/>
      <c r="J164" s="6" t="n"/>
      <c r="K164" s="5">
        <f>IF(E164="","",E164-G164-N(M164))</f>
        <v/>
      </c>
      <c r="L164" s="10" t="n"/>
      <c r="M164" s="3" t="n"/>
      <c r="N164" s="5">
        <f>IF(OR(E164="",H164="",H164=0),"",K164/H164)</f>
        <v/>
      </c>
      <c r="O164" s="10" t="n"/>
    </row>
    <row r="165">
      <c r="A165" s="6" t="n"/>
      <c r="B165" s="10" t="n"/>
      <c r="C165" s="10" t="n"/>
      <c r="D165" s="10" t="n"/>
      <c r="E165" s="3" t="n"/>
      <c r="F165" s="4">
        <f>IF(E165="","",Goal!$B$4)</f>
        <v/>
      </c>
      <c r="G165" s="5">
        <f>IF(E165="","",E165*F165)</f>
        <v/>
      </c>
      <c r="H165" s="10" t="n"/>
      <c r="I165" s="6" t="n"/>
      <c r="J165" s="6" t="n"/>
      <c r="K165" s="5">
        <f>IF(E165="","",E165-G165-N(M165))</f>
        <v/>
      </c>
      <c r="L165" s="10" t="n"/>
      <c r="M165" s="3" t="n"/>
      <c r="N165" s="5">
        <f>IF(OR(E165="",H165="",H165=0),"",K165/H165)</f>
        <v/>
      </c>
      <c r="O165" s="10" t="n"/>
    </row>
    <row r="166">
      <c r="A166" s="6" t="n"/>
      <c r="B166" s="10" t="n"/>
      <c r="C166" s="10" t="n"/>
      <c r="D166" s="10" t="n"/>
      <c r="E166" s="3" t="n"/>
      <c r="F166" s="4">
        <f>IF(E166="","",Goal!$B$4)</f>
        <v/>
      </c>
      <c r="G166" s="5">
        <f>IF(E166="","",E166*F166)</f>
        <v/>
      </c>
      <c r="H166" s="10" t="n"/>
      <c r="I166" s="6" t="n"/>
      <c r="J166" s="6" t="n"/>
      <c r="K166" s="5">
        <f>IF(E166="","",E166-G166-N(M166))</f>
        <v/>
      </c>
      <c r="L166" s="10" t="n"/>
      <c r="M166" s="3" t="n"/>
      <c r="N166" s="5">
        <f>IF(OR(E166="",H166="",H166=0),"",K166/H166)</f>
        <v/>
      </c>
      <c r="O166" s="10" t="n"/>
    </row>
    <row r="167">
      <c r="A167" s="6" t="n"/>
      <c r="B167" s="10" t="n"/>
      <c r="C167" s="10" t="n"/>
      <c r="D167" s="10" t="n"/>
      <c r="E167" s="3" t="n"/>
      <c r="F167" s="4">
        <f>IF(E167="","",Goal!$B$4)</f>
        <v/>
      </c>
      <c r="G167" s="5">
        <f>IF(E167="","",E167*F167)</f>
        <v/>
      </c>
      <c r="H167" s="10" t="n"/>
      <c r="I167" s="6" t="n"/>
      <c r="J167" s="6" t="n"/>
      <c r="K167" s="5">
        <f>IF(E167="","",E167-G167-N(M167))</f>
        <v/>
      </c>
      <c r="L167" s="10" t="n"/>
      <c r="M167" s="3" t="n"/>
      <c r="N167" s="5">
        <f>IF(OR(E167="",H167="",H167=0),"",K167/H167)</f>
        <v/>
      </c>
      <c r="O167" s="10" t="n"/>
    </row>
    <row r="168">
      <c r="A168" s="6" t="n"/>
      <c r="B168" s="10" t="n"/>
      <c r="C168" s="10" t="n"/>
      <c r="D168" s="10" t="n"/>
      <c r="E168" s="3" t="n"/>
      <c r="F168" s="4">
        <f>IF(E168="","",Goal!$B$4)</f>
        <v/>
      </c>
      <c r="G168" s="5">
        <f>IF(E168="","",E168*F168)</f>
        <v/>
      </c>
      <c r="H168" s="10" t="n"/>
      <c r="I168" s="6" t="n"/>
      <c r="J168" s="6" t="n"/>
      <c r="K168" s="5">
        <f>IF(E168="","",E168-G168-N(M168))</f>
        <v/>
      </c>
      <c r="L168" s="10" t="n"/>
      <c r="M168" s="3" t="n"/>
      <c r="N168" s="5">
        <f>IF(OR(E168="",H168="",H168=0),"",K168/H168)</f>
        <v/>
      </c>
      <c r="O168" s="10" t="n"/>
    </row>
    <row r="169">
      <c r="A169" s="6" t="n"/>
      <c r="B169" s="10" t="n"/>
      <c r="C169" s="10" t="n"/>
      <c r="D169" s="10" t="n"/>
      <c r="E169" s="3" t="n"/>
      <c r="F169" s="4">
        <f>IF(E169="","",Goal!$B$4)</f>
        <v/>
      </c>
      <c r="G169" s="5">
        <f>IF(E169="","",E169*F169)</f>
        <v/>
      </c>
      <c r="H169" s="10" t="n"/>
      <c r="I169" s="6" t="n"/>
      <c r="J169" s="6" t="n"/>
      <c r="K169" s="5">
        <f>IF(E169="","",E169-G169-N(M169))</f>
        <v/>
      </c>
      <c r="L169" s="10" t="n"/>
      <c r="M169" s="3" t="n"/>
      <c r="N169" s="5">
        <f>IF(OR(E169="",H169="",H169=0),"",K169/H169)</f>
        <v/>
      </c>
      <c r="O169" s="10" t="n"/>
    </row>
    <row r="170">
      <c r="A170" s="6" t="n"/>
      <c r="B170" s="10" t="n"/>
      <c r="C170" s="10" t="n"/>
      <c r="D170" s="10" t="n"/>
      <c r="E170" s="3" t="n"/>
      <c r="F170" s="4">
        <f>IF(E170="","",Goal!$B$4)</f>
        <v/>
      </c>
      <c r="G170" s="5">
        <f>IF(E170="","",E170*F170)</f>
        <v/>
      </c>
      <c r="H170" s="10" t="n"/>
      <c r="I170" s="6" t="n"/>
      <c r="J170" s="6" t="n"/>
      <c r="K170" s="5">
        <f>IF(E170="","",E170-G170-N(M170))</f>
        <v/>
      </c>
      <c r="L170" s="10" t="n"/>
      <c r="M170" s="3" t="n"/>
      <c r="N170" s="5">
        <f>IF(OR(E170="",H170="",H170=0),"",K170/H170)</f>
        <v/>
      </c>
      <c r="O170" s="10" t="n"/>
    </row>
    <row r="171">
      <c r="A171" s="6" t="n"/>
      <c r="B171" s="10" t="n"/>
      <c r="C171" s="10" t="n"/>
      <c r="D171" s="10" t="n"/>
      <c r="E171" s="3" t="n"/>
      <c r="F171" s="4">
        <f>IF(E171="","",Goal!$B$4)</f>
        <v/>
      </c>
      <c r="G171" s="5">
        <f>IF(E171="","",E171*F171)</f>
        <v/>
      </c>
      <c r="H171" s="10" t="n"/>
      <c r="I171" s="6" t="n"/>
      <c r="J171" s="6" t="n"/>
      <c r="K171" s="5">
        <f>IF(E171="","",E171-G171-N(M171))</f>
        <v/>
      </c>
      <c r="L171" s="10" t="n"/>
      <c r="M171" s="3" t="n"/>
      <c r="N171" s="5">
        <f>IF(OR(E171="",H171="",H171=0),"",K171/H171)</f>
        <v/>
      </c>
      <c r="O171" s="10" t="n"/>
    </row>
    <row r="172">
      <c r="A172" s="6" t="n"/>
      <c r="B172" s="10" t="n"/>
      <c r="C172" s="10" t="n"/>
      <c r="D172" s="10" t="n"/>
      <c r="E172" s="3" t="n"/>
      <c r="F172" s="4">
        <f>IF(E172="","",Goal!$B$4)</f>
        <v/>
      </c>
      <c r="G172" s="5">
        <f>IF(E172="","",E172*F172)</f>
        <v/>
      </c>
      <c r="H172" s="10" t="n"/>
      <c r="I172" s="6" t="n"/>
      <c r="J172" s="6" t="n"/>
      <c r="K172" s="5">
        <f>IF(E172="","",E172-G172-N(M172))</f>
        <v/>
      </c>
      <c r="L172" s="10" t="n"/>
      <c r="M172" s="3" t="n"/>
      <c r="N172" s="5">
        <f>IF(OR(E172="",H172="",H172=0),"",K172/H172)</f>
        <v/>
      </c>
      <c r="O172" s="10" t="n"/>
    </row>
    <row r="173">
      <c r="A173" s="6" t="n"/>
      <c r="B173" s="10" t="n"/>
      <c r="C173" s="10" t="n"/>
      <c r="D173" s="10" t="n"/>
      <c r="E173" s="3" t="n"/>
      <c r="F173" s="4">
        <f>IF(E173="","",Goal!$B$4)</f>
        <v/>
      </c>
      <c r="G173" s="5">
        <f>IF(E173="","",E173*F173)</f>
        <v/>
      </c>
      <c r="H173" s="10" t="n"/>
      <c r="I173" s="6" t="n"/>
      <c r="J173" s="6" t="n"/>
      <c r="K173" s="5">
        <f>IF(E173="","",E173-G173-N(M173))</f>
        <v/>
      </c>
      <c r="L173" s="10" t="n"/>
      <c r="M173" s="3" t="n"/>
      <c r="N173" s="5">
        <f>IF(OR(E173="",H173="",H173=0),"",K173/H173)</f>
        <v/>
      </c>
      <c r="O173" s="10" t="n"/>
    </row>
    <row r="174">
      <c r="A174" s="6" t="n"/>
      <c r="B174" s="10" t="n"/>
      <c r="C174" s="10" t="n"/>
      <c r="D174" s="10" t="n"/>
      <c r="E174" s="3" t="n"/>
      <c r="F174" s="4">
        <f>IF(E174="","",Goal!$B$4)</f>
        <v/>
      </c>
      <c r="G174" s="5">
        <f>IF(E174="","",E174*F174)</f>
        <v/>
      </c>
      <c r="H174" s="10" t="n"/>
      <c r="I174" s="6" t="n"/>
      <c r="J174" s="6" t="n"/>
      <c r="K174" s="5">
        <f>IF(E174="","",E174-G174-N(M174))</f>
        <v/>
      </c>
      <c r="L174" s="10" t="n"/>
      <c r="M174" s="3" t="n"/>
      <c r="N174" s="5">
        <f>IF(OR(E174="",H174="",H174=0),"",K174/H174)</f>
        <v/>
      </c>
      <c r="O174" s="10" t="n"/>
    </row>
    <row r="175">
      <c r="A175" s="6" t="n"/>
      <c r="B175" s="10" t="n"/>
      <c r="C175" s="10" t="n"/>
      <c r="D175" s="10" t="n"/>
      <c r="E175" s="3" t="n"/>
      <c r="F175" s="4">
        <f>IF(E175="","",Goal!$B$4)</f>
        <v/>
      </c>
      <c r="G175" s="5">
        <f>IF(E175="","",E175*F175)</f>
        <v/>
      </c>
      <c r="H175" s="10" t="n"/>
      <c r="I175" s="6" t="n"/>
      <c r="J175" s="6" t="n"/>
      <c r="K175" s="5">
        <f>IF(E175="","",E175-G175-N(M175))</f>
        <v/>
      </c>
      <c r="L175" s="10" t="n"/>
      <c r="M175" s="3" t="n"/>
      <c r="N175" s="5">
        <f>IF(OR(E175="",H175="",H175=0),"",K175/H175)</f>
        <v/>
      </c>
      <c r="O175" s="10" t="n"/>
    </row>
    <row r="176">
      <c r="A176" s="6" t="n"/>
      <c r="B176" s="10" t="n"/>
      <c r="C176" s="10" t="n"/>
      <c r="D176" s="10" t="n"/>
      <c r="E176" s="3" t="n"/>
      <c r="F176" s="4">
        <f>IF(E176="","",Goal!$B$4)</f>
        <v/>
      </c>
      <c r="G176" s="5">
        <f>IF(E176="","",E176*F176)</f>
        <v/>
      </c>
      <c r="H176" s="10" t="n"/>
      <c r="I176" s="6" t="n"/>
      <c r="J176" s="6" t="n"/>
      <c r="K176" s="5">
        <f>IF(E176="","",E176-G176-N(M176))</f>
        <v/>
      </c>
      <c r="L176" s="10" t="n"/>
      <c r="M176" s="3" t="n"/>
      <c r="N176" s="5">
        <f>IF(OR(E176="",H176="",H176=0),"",K176/H176)</f>
        <v/>
      </c>
      <c r="O176" s="10" t="n"/>
    </row>
    <row r="177">
      <c r="A177" s="6" t="n"/>
      <c r="B177" s="10" t="n"/>
      <c r="C177" s="10" t="n"/>
      <c r="D177" s="10" t="n"/>
      <c r="E177" s="3" t="n"/>
      <c r="F177" s="4">
        <f>IF(E177="","",Goal!$B$4)</f>
        <v/>
      </c>
      <c r="G177" s="5">
        <f>IF(E177="","",E177*F177)</f>
        <v/>
      </c>
      <c r="H177" s="10" t="n"/>
      <c r="I177" s="6" t="n"/>
      <c r="J177" s="6" t="n"/>
      <c r="K177" s="5">
        <f>IF(E177="","",E177-G177-N(M177))</f>
        <v/>
      </c>
      <c r="L177" s="10" t="n"/>
      <c r="M177" s="3" t="n"/>
      <c r="N177" s="5">
        <f>IF(OR(E177="",H177="",H177=0),"",K177/H177)</f>
        <v/>
      </c>
      <c r="O177" s="10" t="n"/>
    </row>
    <row r="178">
      <c r="A178" s="6" t="n"/>
      <c r="B178" s="10" t="n"/>
      <c r="C178" s="10" t="n"/>
      <c r="D178" s="10" t="n"/>
      <c r="E178" s="3" t="n"/>
      <c r="F178" s="4">
        <f>IF(E178="","",Goal!$B$4)</f>
        <v/>
      </c>
      <c r="G178" s="5">
        <f>IF(E178="","",E178*F178)</f>
        <v/>
      </c>
      <c r="H178" s="10" t="n"/>
      <c r="I178" s="6" t="n"/>
      <c r="J178" s="6" t="n"/>
      <c r="K178" s="5">
        <f>IF(E178="","",E178-G178-N(M178))</f>
        <v/>
      </c>
      <c r="L178" s="10" t="n"/>
      <c r="M178" s="3" t="n"/>
      <c r="N178" s="5">
        <f>IF(OR(E178="",H178="",H178=0),"",K178/H178)</f>
        <v/>
      </c>
      <c r="O178" s="10" t="n"/>
    </row>
    <row r="179">
      <c r="A179" s="6" t="n"/>
      <c r="B179" s="10" t="n"/>
      <c r="C179" s="10" t="n"/>
      <c r="D179" s="10" t="n"/>
      <c r="E179" s="3" t="n"/>
      <c r="F179" s="4">
        <f>IF(E179="","",Goal!$B$4)</f>
        <v/>
      </c>
      <c r="G179" s="5">
        <f>IF(E179="","",E179*F179)</f>
        <v/>
      </c>
      <c r="H179" s="10" t="n"/>
      <c r="I179" s="6" t="n"/>
      <c r="J179" s="6" t="n"/>
      <c r="K179" s="5">
        <f>IF(E179="","",E179-G179-N(M179))</f>
        <v/>
      </c>
      <c r="L179" s="10" t="n"/>
      <c r="M179" s="3" t="n"/>
      <c r="N179" s="5">
        <f>IF(OR(E179="",H179="",H179=0),"",K179/H179)</f>
        <v/>
      </c>
      <c r="O179" s="10" t="n"/>
    </row>
    <row r="180">
      <c r="A180" s="6" t="n"/>
      <c r="B180" s="10" t="n"/>
      <c r="C180" s="10" t="n"/>
      <c r="D180" s="10" t="n"/>
      <c r="E180" s="3" t="n"/>
      <c r="F180" s="4">
        <f>IF(E180="","",Goal!$B$4)</f>
        <v/>
      </c>
      <c r="G180" s="5">
        <f>IF(E180="","",E180*F180)</f>
        <v/>
      </c>
      <c r="H180" s="10" t="n"/>
      <c r="I180" s="6" t="n"/>
      <c r="J180" s="6" t="n"/>
      <c r="K180" s="5">
        <f>IF(E180="","",E180-G180-N(M180))</f>
        <v/>
      </c>
      <c r="L180" s="10" t="n"/>
      <c r="M180" s="3" t="n"/>
      <c r="N180" s="5">
        <f>IF(OR(E180="",H180="",H180=0),"",K180/H180)</f>
        <v/>
      </c>
      <c r="O180" s="10" t="n"/>
    </row>
    <row r="181">
      <c r="A181" s="6" t="n"/>
      <c r="B181" s="10" t="n"/>
      <c r="C181" s="10" t="n"/>
      <c r="D181" s="10" t="n"/>
      <c r="E181" s="3" t="n"/>
      <c r="F181" s="4">
        <f>IF(E181="","",Goal!$B$4)</f>
        <v/>
      </c>
      <c r="G181" s="5">
        <f>IF(E181="","",E181*F181)</f>
        <v/>
      </c>
      <c r="H181" s="10" t="n"/>
      <c r="I181" s="6" t="n"/>
      <c r="J181" s="6" t="n"/>
      <c r="K181" s="5">
        <f>IF(E181="","",E181-G181-N(M181))</f>
        <v/>
      </c>
      <c r="L181" s="10" t="n"/>
      <c r="M181" s="3" t="n"/>
      <c r="N181" s="5">
        <f>IF(OR(E181="",H181="",H181=0),"",K181/H181)</f>
        <v/>
      </c>
      <c r="O181" s="10" t="n"/>
    </row>
    <row r="182">
      <c r="A182" s="6" t="n"/>
      <c r="B182" s="10" t="n"/>
      <c r="C182" s="10" t="n"/>
      <c r="D182" s="10" t="n"/>
      <c r="E182" s="3" t="n"/>
      <c r="F182" s="4">
        <f>IF(E182="","",Goal!$B$4)</f>
        <v/>
      </c>
      <c r="G182" s="5">
        <f>IF(E182="","",E182*F182)</f>
        <v/>
      </c>
      <c r="H182" s="10" t="n"/>
      <c r="I182" s="6" t="n"/>
      <c r="J182" s="6" t="n"/>
      <c r="K182" s="5">
        <f>IF(E182="","",E182-G182-N(M182))</f>
        <v/>
      </c>
      <c r="L182" s="10" t="n"/>
      <c r="M182" s="3" t="n"/>
      <c r="N182" s="5">
        <f>IF(OR(E182="",H182="",H182=0),"",K182/H182)</f>
        <v/>
      </c>
      <c r="O182" s="10" t="n"/>
    </row>
    <row r="183">
      <c r="A183" s="6" t="n"/>
      <c r="B183" s="10" t="n"/>
      <c r="C183" s="10" t="n"/>
      <c r="D183" s="10" t="n"/>
      <c r="E183" s="3" t="n"/>
      <c r="F183" s="4">
        <f>IF(E183="","",Goal!$B$4)</f>
        <v/>
      </c>
      <c r="G183" s="5">
        <f>IF(E183="","",E183*F183)</f>
        <v/>
      </c>
      <c r="H183" s="10" t="n"/>
      <c r="I183" s="6" t="n"/>
      <c r="J183" s="6" t="n"/>
      <c r="K183" s="5">
        <f>IF(E183="","",E183-G183-N(M183))</f>
        <v/>
      </c>
      <c r="L183" s="10" t="n"/>
      <c r="M183" s="3" t="n"/>
      <c r="N183" s="5">
        <f>IF(OR(E183="",H183="",H183=0),"",K183/H183)</f>
        <v/>
      </c>
      <c r="O183" s="10" t="n"/>
    </row>
    <row r="184">
      <c r="A184" s="6" t="n"/>
      <c r="B184" s="10" t="n"/>
      <c r="C184" s="10" t="n"/>
      <c r="D184" s="10" t="n"/>
      <c r="E184" s="3" t="n"/>
      <c r="F184" s="4">
        <f>IF(E184="","",Goal!$B$4)</f>
        <v/>
      </c>
      <c r="G184" s="5">
        <f>IF(E184="","",E184*F184)</f>
        <v/>
      </c>
      <c r="H184" s="10" t="n"/>
      <c r="I184" s="6" t="n"/>
      <c r="J184" s="6" t="n"/>
      <c r="K184" s="5">
        <f>IF(E184="","",E184-G184-N(M184))</f>
        <v/>
      </c>
      <c r="L184" s="10" t="n"/>
      <c r="M184" s="3" t="n"/>
      <c r="N184" s="5">
        <f>IF(OR(E184="",H184="",H184=0),"",K184/H184)</f>
        <v/>
      </c>
      <c r="O184" s="10" t="n"/>
    </row>
    <row r="185">
      <c r="A185" s="6" t="n"/>
      <c r="B185" s="10" t="n"/>
      <c r="C185" s="10" t="n"/>
      <c r="D185" s="10" t="n"/>
      <c r="E185" s="3" t="n"/>
      <c r="F185" s="4">
        <f>IF(E185="","",Goal!$B$4)</f>
        <v/>
      </c>
      <c r="G185" s="5">
        <f>IF(E185="","",E185*F185)</f>
        <v/>
      </c>
      <c r="H185" s="10" t="n"/>
      <c r="I185" s="6" t="n"/>
      <c r="J185" s="6" t="n"/>
      <c r="K185" s="5">
        <f>IF(E185="","",E185-G185-N(M185))</f>
        <v/>
      </c>
      <c r="L185" s="10" t="n"/>
      <c r="M185" s="3" t="n"/>
      <c r="N185" s="5">
        <f>IF(OR(E185="",H185="",H185=0),"",K185/H185)</f>
        <v/>
      </c>
      <c r="O185" s="10" t="n"/>
    </row>
    <row r="186">
      <c r="A186" s="6" t="n"/>
      <c r="B186" s="10" t="n"/>
      <c r="C186" s="10" t="n"/>
      <c r="D186" s="10" t="n"/>
      <c r="E186" s="3" t="n"/>
      <c r="F186" s="4">
        <f>IF(E186="","",Goal!$B$4)</f>
        <v/>
      </c>
      <c r="G186" s="5">
        <f>IF(E186="","",E186*F186)</f>
        <v/>
      </c>
      <c r="H186" s="10" t="n"/>
      <c r="I186" s="6" t="n"/>
      <c r="J186" s="6" t="n"/>
      <c r="K186" s="5">
        <f>IF(E186="","",E186-G186-N(M186))</f>
        <v/>
      </c>
      <c r="L186" s="10" t="n"/>
      <c r="M186" s="3" t="n"/>
      <c r="N186" s="5">
        <f>IF(OR(E186="",H186="",H186=0),"",K186/H186)</f>
        <v/>
      </c>
      <c r="O186" s="10" t="n"/>
    </row>
    <row r="187">
      <c r="A187" s="6" t="n"/>
      <c r="B187" s="10" t="n"/>
      <c r="C187" s="10" t="n"/>
      <c r="D187" s="10" t="n"/>
      <c r="E187" s="3" t="n"/>
      <c r="F187" s="4">
        <f>IF(E187="","",Goal!$B$4)</f>
        <v/>
      </c>
      <c r="G187" s="5">
        <f>IF(E187="","",E187*F187)</f>
        <v/>
      </c>
      <c r="H187" s="10" t="n"/>
      <c r="I187" s="6" t="n"/>
      <c r="J187" s="6" t="n"/>
      <c r="K187" s="5">
        <f>IF(E187="","",E187-G187-N(M187))</f>
        <v/>
      </c>
      <c r="L187" s="10" t="n"/>
      <c r="M187" s="3" t="n"/>
      <c r="N187" s="5">
        <f>IF(OR(E187="",H187="",H187=0),"",K187/H187)</f>
        <v/>
      </c>
      <c r="O187" s="10" t="n"/>
    </row>
    <row r="188">
      <c r="A188" s="6" t="n"/>
      <c r="B188" s="10" t="n"/>
      <c r="C188" s="10" t="n"/>
      <c r="D188" s="10" t="n"/>
      <c r="E188" s="3" t="n"/>
      <c r="F188" s="4">
        <f>IF(E188="","",Goal!$B$4)</f>
        <v/>
      </c>
      <c r="G188" s="5">
        <f>IF(E188="","",E188*F188)</f>
        <v/>
      </c>
      <c r="H188" s="10" t="n"/>
      <c r="I188" s="6" t="n"/>
      <c r="J188" s="6" t="n"/>
      <c r="K188" s="5">
        <f>IF(E188="","",E188-G188-N(M188))</f>
        <v/>
      </c>
      <c r="L188" s="10" t="n"/>
      <c r="M188" s="3" t="n"/>
      <c r="N188" s="5">
        <f>IF(OR(E188="",H188="",H188=0),"",K188/H188)</f>
        <v/>
      </c>
      <c r="O188" s="10" t="n"/>
    </row>
    <row r="189">
      <c r="A189" s="6" t="n"/>
      <c r="B189" s="10" t="n"/>
      <c r="C189" s="10" t="n"/>
      <c r="D189" s="10" t="n"/>
      <c r="E189" s="3" t="n"/>
      <c r="F189" s="4">
        <f>IF(E189="","",Goal!$B$4)</f>
        <v/>
      </c>
      <c r="G189" s="5">
        <f>IF(E189="","",E189*F189)</f>
        <v/>
      </c>
      <c r="H189" s="10" t="n"/>
      <c r="I189" s="6" t="n"/>
      <c r="J189" s="6" t="n"/>
      <c r="K189" s="5">
        <f>IF(E189="","",E189-G189-N(M189))</f>
        <v/>
      </c>
      <c r="L189" s="10" t="n"/>
      <c r="M189" s="3" t="n"/>
      <c r="N189" s="5">
        <f>IF(OR(E189="",H189="",H189=0),"",K189/H189)</f>
        <v/>
      </c>
      <c r="O189" s="10" t="n"/>
    </row>
    <row r="190">
      <c r="A190" s="6" t="n"/>
      <c r="B190" s="10" t="n"/>
      <c r="C190" s="10" t="n"/>
      <c r="D190" s="10" t="n"/>
      <c r="E190" s="3" t="n"/>
      <c r="F190" s="4">
        <f>IF(E190="","",Goal!$B$4)</f>
        <v/>
      </c>
      <c r="G190" s="5">
        <f>IF(E190="","",E190*F190)</f>
        <v/>
      </c>
      <c r="H190" s="10" t="n"/>
      <c r="I190" s="6" t="n"/>
      <c r="J190" s="6" t="n"/>
      <c r="K190" s="5">
        <f>IF(E190="","",E190-G190-N(M190))</f>
        <v/>
      </c>
      <c r="L190" s="10" t="n"/>
      <c r="M190" s="3" t="n"/>
      <c r="N190" s="5">
        <f>IF(OR(E190="",H190="",H190=0),"",K190/H190)</f>
        <v/>
      </c>
      <c r="O190" s="10" t="n"/>
    </row>
    <row r="191">
      <c r="A191" s="6" t="n"/>
      <c r="B191" s="10" t="n"/>
      <c r="C191" s="10" t="n"/>
      <c r="D191" s="10" t="n"/>
      <c r="E191" s="3" t="n"/>
      <c r="F191" s="4">
        <f>IF(E191="","",Goal!$B$4)</f>
        <v/>
      </c>
      <c r="G191" s="5">
        <f>IF(E191="","",E191*F191)</f>
        <v/>
      </c>
      <c r="H191" s="10" t="n"/>
      <c r="I191" s="6" t="n"/>
      <c r="J191" s="6" t="n"/>
      <c r="K191" s="5">
        <f>IF(E191="","",E191-G191-N(M191))</f>
        <v/>
      </c>
      <c r="L191" s="10" t="n"/>
      <c r="M191" s="3" t="n"/>
      <c r="N191" s="5">
        <f>IF(OR(E191="",H191="",H191=0),"",K191/H191)</f>
        <v/>
      </c>
      <c r="O191" s="10" t="n"/>
    </row>
    <row r="192">
      <c r="A192" s="6" t="n"/>
      <c r="B192" s="10" t="n"/>
      <c r="C192" s="10" t="n"/>
      <c r="D192" s="10" t="n"/>
      <c r="E192" s="3" t="n"/>
      <c r="F192" s="4">
        <f>IF(E192="","",Goal!$B$4)</f>
        <v/>
      </c>
      <c r="G192" s="5">
        <f>IF(E192="","",E192*F192)</f>
        <v/>
      </c>
      <c r="H192" s="10" t="n"/>
      <c r="I192" s="6" t="n"/>
      <c r="J192" s="6" t="n"/>
      <c r="K192" s="5">
        <f>IF(E192="","",E192-G192-N(M192))</f>
        <v/>
      </c>
      <c r="L192" s="10" t="n"/>
      <c r="M192" s="3" t="n"/>
      <c r="N192" s="5">
        <f>IF(OR(E192="",H192="",H192=0),"",K192/H192)</f>
        <v/>
      </c>
      <c r="O192" s="10" t="n"/>
    </row>
    <row r="193">
      <c r="A193" s="6" t="n"/>
      <c r="B193" s="10" t="n"/>
      <c r="C193" s="10" t="n"/>
      <c r="D193" s="10" t="n"/>
      <c r="E193" s="3" t="n"/>
      <c r="F193" s="4">
        <f>IF(E193="","",Goal!$B$4)</f>
        <v/>
      </c>
      <c r="G193" s="5">
        <f>IF(E193="","",E193*F193)</f>
        <v/>
      </c>
      <c r="H193" s="10" t="n"/>
      <c r="I193" s="6" t="n"/>
      <c r="J193" s="6" t="n"/>
      <c r="K193" s="5">
        <f>IF(E193="","",E193-G193-N(M193))</f>
        <v/>
      </c>
      <c r="L193" s="10" t="n"/>
      <c r="M193" s="3" t="n"/>
      <c r="N193" s="5">
        <f>IF(OR(E193="",H193="",H193=0),"",K193/H193)</f>
        <v/>
      </c>
      <c r="O193" s="10" t="n"/>
    </row>
    <row r="194">
      <c r="A194" s="6" t="n"/>
      <c r="B194" s="10" t="n"/>
      <c r="C194" s="10" t="n"/>
      <c r="D194" s="10" t="n"/>
      <c r="E194" s="3" t="n"/>
      <c r="F194" s="4">
        <f>IF(E194="","",Goal!$B$4)</f>
        <v/>
      </c>
      <c r="G194" s="5">
        <f>IF(E194="","",E194*F194)</f>
        <v/>
      </c>
      <c r="H194" s="10" t="n"/>
      <c r="I194" s="6" t="n"/>
      <c r="J194" s="6" t="n"/>
      <c r="K194" s="5">
        <f>IF(E194="","",E194-G194-N(M194))</f>
        <v/>
      </c>
      <c r="L194" s="10" t="n"/>
      <c r="M194" s="3" t="n"/>
      <c r="N194" s="5">
        <f>IF(OR(E194="",H194="",H194=0),"",K194/H194)</f>
        <v/>
      </c>
      <c r="O194" s="10" t="n"/>
    </row>
    <row r="195">
      <c r="A195" s="6" t="n"/>
      <c r="B195" s="10" t="n"/>
      <c r="C195" s="10" t="n"/>
      <c r="D195" s="10" t="n"/>
      <c r="E195" s="3" t="n"/>
      <c r="F195" s="4">
        <f>IF(E195="","",Goal!$B$4)</f>
        <v/>
      </c>
      <c r="G195" s="5">
        <f>IF(E195="","",E195*F195)</f>
        <v/>
      </c>
      <c r="H195" s="10" t="n"/>
      <c r="I195" s="6" t="n"/>
      <c r="J195" s="6" t="n"/>
      <c r="K195" s="5">
        <f>IF(E195="","",E195-G195-N(M195))</f>
        <v/>
      </c>
      <c r="L195" s="10" t="n"/>
      <c r="M195" s="3" t="n"/>
      <c r="N195" s="5">
        <f>IF(OR(E195="",H195="",H195=0),"",K195/H195)</f>
        <v/>
      </c>
      <c r="O195" s="10" t="n"/>
    </row>
    <row r="196">
      <c r="A196" s="6" t="n"/>
      <c r="B196" s="10" t="n"/>
      <c r="C196" s="10" t="n"/>
      <c r="D196" s="10" t="n"/>
      <c r="E196" s="3" t="n"/>
      <c r="F196" s="4">
        <f>IF(E196="","",Goal!$B$4)</f>
        <v/>
      </c>
      <c r="G196" s="5">
        <f>IF(E196="","",E196*F196)</f>
        <v/>
      </c>
      <c r="H196" s="10" t="n"/>
      <c r="I196" s="6" t="n"/>
      <c r="J196" s="6" t="n"/>
      <c r="K196" s="5">
        <f>IF(E196="","",E196-G196-N(M196))</f>
        <v/>
      </c>
      <c r="L196" s="10" t="n"/>
      <c r="M196" s="3" t="n"/>
      <c r="N196" s="5">
        <f>IF(OR(E196="",H196="",H196=0),"",K196/H196)</f>
        <v/>
      </c>
      <c r="O196" s="10" t="n"/>
    </row>
    <row r="197">
      <c r="A197" s="6" t="n"/>
      <c r="B197" s="10" t="n"/>
      <c r="C197" s="10" t="n"/>
      <c r="D197" s="10" t="n"/>
      <c r="E197" s="3" t="n"/>
      <c r="F197" s="4">
        <f>IF(E197="","",Goal!$B$4)</f>
        <v/>
      </c>
      <c r="G197" s="5">
        <f>IF(E197="","",E197*F197)</f>
        <v/>
      </c>
      <c r="H197" s="10" t="n"/>
      <c r="I197" s="6" t="n"/>
      <c r="J197" s="6" t="n"/>
      <c r="K197" s="5">
        <f>IF(E197="","",E197-G197-N(M197))</f>
        <v/>
      </c>
      <c r="L197" s="10" t="n"/>
      <c r="M197" s="3" t="n"/>
      <c r="N197" s="5">
        <f>IF(OR(E197="",H197="",H197=0),"",K197/H197)</f>
        <v/>
      </c>
      <c r="O197" s="10" t="n"/>
    </row>
    <row r="198">
      <c r="A198" s="6" t="n"/>
      <c r="B198" s="10" t="n"/>
      <c r="C198" s="10" t="n"/>
      <c r="D198" s="10" t="n"/>
      <c r="E198" s="3" t="n"/>
      <c r="F198" s="4">
        <f>IF(E198="","",Goal!$B$4)</f>
        <v/>
      </c>
      <c r="G198" s="5">
        <f>IF(E198="","",E198*F198)</f>
        <v/>
      </c>
      <c r="H198" s="10" t="n"/>
      <c r="I198" s="6" t="n"/>
      <c r="J198" s="6" t="n"/>
      <c r="K198" s="5">
        <f>IF(E198="","",E198-G198-N(M198))</f>
        <v/>
      </c>
      <c r="L198" s="10" t="n"/>
      <c r="M198" s="3" t="n"/>
      <c r="N198" s="5">
        <f>IF(OR(E198="",H198="",H198=0),"",K198/H198)</f>
        <v/>
      </c>
      <c r="O198" s="10" t="n"/>
    </row>
    <row r="199">
      <c r="A199" s="6" t="n"/>
      <c r="B199" s="10" t="n"/>
      <c r="C199" s="10" t="n"/>
      <c r="D199" s="10" t="n"/>
      <c r="E199" s="3" t="n"/>
      <c r="F199" s="4">
        <f>IF(E199="","",Goal!$B$4)</f>
        <v/>
      </c>
      <c r="G199" s="5">
        <f>IF(E199="","",E199*F199)</f>
        <v/>
      </c>
      <c r="H199" s="10" t="n"/>
      <c r="I199" s="6" t="n"/>
      <c r="J199" s="6" t="n"/>
      <c r="K199" s="5">
        <f>IF(E199="","",E199-G199-N(M199))</f>
        <v/>
      </c>
      <c r="L199" s="10" t="n"/>
      <c r="M199" s="3" t="n"/>
      <c r="N199" s="5">
        <f>IF(OR(E199="",H199="",H199=0),"",K199/H199)</f>
        <v/>
      </c>
      <c r="O199" s="10" t="n"/>
    </row>
    <row r="200">
      <c r="A200" s="6" t="n"/>
      <c r="B200" s="10" t="n"/>
      <c r="C200" s="10" t="n"/>
      <c r="D200" s="10" t="n"/>
      <c r="E200" s="3" t="n"/>
      <c r="F200" s="4">
        <f>IF(E200="","",Goal!$B$4)</f>
        <v/>
      </c>
      <c r="G200" s="5">
        <f>IF(E200="","",E200*F200)</f>
        <v/>
      </c>
      <c r="H200" s="10" t="n"/>
      <c r="I200" s="6" t="n"/>
      <c r="J200" s="6" t="n"/>
      <c r="K200" s="5">
        <f>IF(E200="","",E200-G200-N(M200))</f>
        <v/>
      </c>
      <c r="L200" s="10" t="n"/>
      <c r="M200" s="3" t="n"/>
      <c r="N200" s="5">
        <f>IF(OR(E200="",H200="",H200=0),"",K200/H200)</f>
        <v/>
      </c>
      <c r="O200" s="10" t="n"/>
    </row>
    <row r="201">
      <c r="A201" s="6" t="n"/>
      <c r="B201" s="10" t="n"/>
      <c r="C201" s="10" t="n"/>
      <c r="D201" s="10" t="n"/>
      <c r="E201" s="3" t="n"/>
      <c r="F201" s="4">
        <f>IF(E201="","",Goal!$B$4)</f>
        <v/>
      </c>
      <c r="G201" s="5">
        <f>IF(E201="","",E201*F201)</f>
        <v/>
      </c>
      <c r="H201" s="10" t="n"/>
      <c r="I201" s="6" t="n"/>
      <c r="J201" s="6" t="n"/>
      <c r="K201" s="5">
        <f>IF(E201="","",E201-G201-N(M201))</f>
        <v/>
      </c>
      <c r="L201" s="10" t="n"/>
      <c r="M201" s="3" t="n"/>
      <c r="N201" s="5">
        <f>IF(OR(E201="",H201="",H201=0),"",K201/H201)</f>
        <v/>
      </c>
      <c r="O201" s="10" t="n"/>
    </row>
    <row r="202">
      <c r="A202" s="6" t="n"/>
      <c r="B202" s="10" t="n"/>
      <c r="C202" s="10" t="n"/>
      <c r="D202" s="10" t="n"/>
      <c r="E202" s="3" t="n"/>
      <c r="F202" s="4">
        <f>IF(E202="","",Goal!$B$4)</f>
        <v/>
      </c>
      <c r="G202" s="5">
        <f>IF(E202="","",E202*F202)</f>
        <v/>
      </c>
      <c r="H202" s="10" t="n"/>
      <c r="I202" s="6" t="n"/>
      <c r="J202" s="6" t="n"/>
      <c r="K202" s="5">
        <f>IF(E202="","",E202-G202-N(M202))</f>
        <v/>
      </c>
      <c r="L202" s="10" t="n"/>
      <c r="M202" s="3" t="n"/>
      <c r="N202" s="5">
        <f>IF(OR(E202="",H202="",H202=0),"",K202/H202)</f>
        <v/>
      </c>
      <c r="O202" s="10" t="n"/>
    </row>
    <row r="203">
      <c r="A203" s="6" t="n"/>
      <c r="B203" s="10" t="n"/>
      <c r="C203" s="10" t="n"/>
      <c r="D203" s="10" t="n"/>
      <c r="E203" s="3" t="n"/>
      <c r="F203" s="4">
        <f>IF(E203="","",Goal!$B$4)</f>
        <v/>
      </c>
      <c r="G203" s="5">
        <f>IF(E203="","",E203*F203)</f>
        <v/>
      </c>
      <c r="H203" s="10" t="n"/>
      <c r="I203" s="6" t="n"/>
      <c r="J203" s="6" t="n"/>
      <c r="K203" s="5">
        <f>IF(E203="","",E203-G203-N(M203))</f>
        <v/>
      </c>
      <c r="L203" s="10" t="n"/>
      <c r="M203" s="3" t="n"/>
      <c r="N203" s="5">
        <f>IF(OR(E203="",H203="",H203=0),"",K203/H203)</f>
        <v/>
      </c>
      <c r="O203" s="10" t="n"/>
    </row>
    <row r="204">
      <c r="A204" s="6" t="n"/>
      <c r="B204" s="10" t="n"/>
      <c r="C204" s="10" t="n"/>
      <c r="D204" s="10" t="n"/>
      <c r="E204" s="3" t="n"/>
      <c r="F204" s="4">
        <f>IF(E204="","",Goal!$B$4)</f>
        <v/>
      </c>
      <c r="G204" s="5">
        <f>IF(E204="","",E204*F204)</f>
        <v/>
      </c>
      <c r="H204" s="10" t="n"/>
      <c r="I204" s="6" t="n"/>
      <c r="J204" s="6" t="n"/>
      <c r="K204" s="5">
        <f>IF(E204="","",E204-G204-N(M204))</f>
        <v/>
      </c>
      <c r="L204" s="10" t="n"/>
      <c r="M204" s="3" t="n"/>
      <c r="N204" s="5">
        <f>IF(OR(E204="",H204="",H204=0),"",K204/H204)</f>
        <v/>
      </c>
      <c r="O204" s="10" t="n"/>
    </row>
    <row r="205">
      <c r="A205" s="6" t="n"/>
      <c r="B205" s="10" t="n"/>
      <c r="C205" s="10" t="n"/>
      <c r="D205" s="10" t="n"/>
      <c r="E205" s="3" t="n"/>
      <c r="F205" s="4">
        <f>IF(E205="","",Goal!$B$4)</f>
        <v/>
      </c>
      <c r="G205" s="5">
        <f>IF(E205="","",E205*F205)</f>
        <v/>
      </c>
      <c r="H205" s="10" t="n"/>
      <c r="I205" s="6" t="n"/>
      <c r="J205" s="6" t="n"/>
      <c r="K205" s="5">
        <f>IF(E205="","",E205-G205-N(M205))</f>
        <v/>
      </c>
      <c r="L205" s="10" t="n"/>
      <c r="M205" s="3" t="n"/>
      <c r="N205" s="5">
        <f>IF(OR(E205="",H205="",H205=0),"",K205/H205)</f>
        <v/>
      </c>
      <c r="O205" s="10" t="n"/>
    </row>
    <row r="206">
      <c r="A206" s="6" t="n"/>
      <c r="B206" s="10" t="n"/>
      <c r="C206" s="10" t="n"/>
      <c r="D206" s="10" t="n"/>
      <c r="E206" s="3" t="n"/>
      <c r="F206" s="4">
        <f>IF(E206="","",Goal!$B$4)</f>
        <v/>
      </c>
      <c r="G206" s="5">
        <f>IF(E206="","",E206*F206)</f>
        <v/>
      </c>
      <c r="H206" s="10" t="n"/>
      <c r="I206" s="6" t="n"/>
      <c r="J206" s="6" t="n"/>
      <c r="K206" s="5">
        <f>IF(E206="","",E206-G206-N(M206))</f>
        <v/>
      </c>
      <c r="L206" s="10" t="n"/>
      <c r="M206" s="3" t="n"/>
      <c r="N206" s="5">
        <f>IF(OR(E206="",H206="",H206=0),"",K206/H206)</f>
        <v/>
      </c>
      <c r="O206" s="10" t="n"/>
    </row>
    <row r="207">
      <c r="A207" s="6" t="n"/>
      <c r="B207" s="10" t="n"/>
      <c r="C207" s="10" t="n"/>
      <c r="D207" s="10" t="n"/>
      <c r="E207" s="3" t="n"/>
      <c r="F207" s="4">
        <f>IF(E207="","",Goal!$B$4)</f>
        <v/>
      </c>
      <c r="G207" s="5">
        <f>IF(E207="","",E207*F207)</f>
        <v/>
      </c>
      <c r="H207" s="10" t="n"/>
      <c r="I207" s="6" t="n"/>
      <c r="J207" s="6" t="n"/>
      <c r="K207" s="5">
        <f>IF(E207="","",E207-G207-N(M207))</f>
        <v/>
      </c>
      <c r="L207" s="10" t="n"/>
      <c r="M207" s="3" t="n"/>
      <c r="N207" s="5">
        <f>IF(OR(E207="",H207="",H207=0),"",K207/H207)</f>
        <v/>
      </c>
      <c r="O207" s="10" t="n"/>
    </row>
    <row r="208">
      <c r="A208" s="6" t="n"/>
      <c r="B208" s="10" t="n"/>
      <c r="C208" s="10" t="n"/>
      <c r="D208" s="10" t="n"/>
      <c r="E208" s="3" t="n"/>
      <c r="F208" s="4">
        <f>IF(E208="","",Goal!$B$4)</f>
        <v/>
      </c>
      <c r="G208" s="5">
        <f>IF(E208="","",E208*F208)</f>
        <v/>
      </c>
      <c r="H208" s="10" t="n"/>
      <c r="I208" s="6" t="n"/>
      <c r="J208" s="6" t="n"/>
      <c r="K208" s="5">
        <f>IF(E208="","",E208-G208-N(M208))</f>
        <v/>
      </c>
      <c r="L208" s="10" t="n"/>
      <c r="M208" s="3" t="n"/>
      <c r="N208" s="5">
        <f>IF(OR(E208="",H208="",H208=0),"",K208/H208)</f>
        <v/>
      </c>
      <c r="O208" s="10" t="n"/>
    </row>
    <row r="209">
      <c r="A209" s="6" t="n"/>
      <c r="B209" s="10" t="n"/>
      <c r="C209" s="10" t="n"/>
      <c r="D209" s="10" t="n"/>
      <c r="E209" s="3" t="n"/>
      <c r="F209" s="4">
        <f>IF(E209="","",Goal!$B$4)</f>
        <v/>
      </c>
      <c r="G209" s="5">
        <f>IF(E209="","",E209*F209)</f>
        <v/>
      </c>
      <c r="H209" s="10" t="n"/>
      <c r="I209" s="6" t="n"/>
      <c r="J209" s="6" t="n"/>
      <c r="K209" s="5">
        <f>IF(E209="","",E209-G209-N(M209))</f>
        <v/>
      </c>
      <c r="L209" s="10" t="n"/>
      <c r="M209" s="3" t="n"/>
      <c r="N209" s="5">
        <f>IF(OR(E209="",H209="",H209=0),"",K209/H209)</f>
        <v/>
      </c>
      <c r="O209" s="10" t="n"/>
    </row>
    <row r="210">
      <c r="A210" s="6" t="n"/>
      <c r="B210" s="10" t="n"/>
      <c r="C210" s="10" t="n"/>
      <c r="D210" s="10" t="n"/>
      <c r="E210" s="3" t="n"/>
      <c r="F210" s="4">
        <f>IF(E210="","",Goal!$B$4)</f>
        <v/>
      </c>
      <c r="G210" s="5">
        <f>IF(E210="","",E210*F210)</f>
        <v/>
      </c>
      <c r="H210" s="10" t="n"/>
      <c r="I210" s="6" t="n"/>
      <c r="J210" s="6" t="n"/>
      <c r="K210" s="5">
        <f>IF(E210="","",E210-G210-N(M210))</f>
        <v/>
      </c>
      <c r="L210" s="10" t="n"/>
      <c r="M210" s="3" t="n"/>
      <c r="N210" s="5">
        <f>IF(OR(E210="",H210="",H210=0),"",K210/H210)</f>
        <v/>
      </c>
      <c r="O210" s="10" t="n"/>
    </row>
    <row r="211">
      <c r="A211" s="6" t="n"/>
      <c r="B211" s="10" t="n"/>
      <c r="C211" s="10" t="n"/>
      <c r="D211" s="10" t="n"/>
      <c r="E211" s="3" t="n"/>
      <c r="F211" s="4">
        <f>IF(E211="","",Goal!$B$4)</f>
        <v/>
      </c>
      <c r="G211" s="5">
        <f>IF(E211="","",E211*F211)</f>
        <v/>
      </c>
      <c r="H211" s="10" t="n"/>
      <c r="I211" s="6" t="n"/>
      <c r="J211" s="6" t="n"/>
      <c r="K211" s="5">
        <f>IF(E211="","",E211-G211-N(M211))</f>
        <v/>
      </c>
      <c r="L211" s="10" t="n"/>
      <c r="M211" s="3" t="n"/>
      <c r="N211" s="5">
        <f>IF(OR(E211="",H211="",H211=0),"",K211/H211)</f>
        <v/>
      </c>
      <c r="O211" s="10" t="n"/>
    </row>
    <row r="212">
      <c r="A212" s="6" t="n"/>
      <c r="B212" s="10" t="n"/>
      <c r="C212" s="10" t="n"/>
      <c r="D212" s="10" t="n"/>
      <c r="E212" s="3" t="n"/>
      <c r="F212" s="4">
        <f>IF(E212="","",Goal!$B$4)</f>
        <v/>
      </c>
      <c r="G212" s="5">
        <f>IF(E212="","",E212*F212)</f>
        <v/>
      </c>
      <c r="H212" s="10" t="n"/>
      <c r="I212" s="6" t="n"/>
      <c r="J212" s="6" t="n"/>
      <c r="K212" s="5">
        <f>IF(E212="","",E212-G212-N(M212))</f>
        <v/>
      </c>
      <c r="L212" s="10" t="n"/>
      <c r="M212" s="3" t="n"/>
      <c r="N212" s="5">
        <f>IF(OR(E212="",H212="",H212=0),"",K212/H212)</f>
        <v/>
      </c>
      <c r="O212" s="10" t="n"/>
    </row>
    <row r="213">
      <c r="A213" s="6" t="n"/>
      <c r="B213" s="10" t="n"/>
      <c r="C213" s="10" t="n"/>
      <c r="D213" s="10" t="n"/>
      <c r="E213" s="3" t="n"/>
      <c r="F213" s="4">
        <f>IF(E213="","",Goal!$B$4)</f>
        <v/>
      </c>
      <c r="G213" s="5">
        <f>IF(E213="","",E213*F213)</f>
        <v/>
      </c>
      <c r="H213" s="10" t="n"/>
      <c r="I213" s="6" t="n"/>
      <c r="J213" s="6" t="n"/>
      <c r="K213" s="5">
        <f>IF(E213="","",E213-G213-N(M213))</f>
        <v/>
      </c>
      <c r="L213" s="10" t="n"/>
      <c r="M213" s="3" t="n"/>
      <c r="N213" s="5">
        <f>IF(OR(E213="",H213="",H213=0),"",K213/H213)</f>
        <v/>
      </c>
      <c r="O213" s="10" t="n"/>
    </row>
    <row r="214">
      <c r="A214" s="6" t="n"/>
      <c r="B214" s="10" t="n"/>
      <c r="C214" s="10" t="n"/>
      <c r="D214" s="10" t="n"/>
      <c r="E214" s="3" t="n"/>
      <c r="F214" s="4">
        <f>IF(E214="","",Goal!$B$4)</f>
        <v/>
      </c>
      <c r="G214" s="5">
        <f>IF(E214="","",E214*F214)</f>
        <v/>
      </c>
      <c r="H214" s="10" t="n"/>
      <c r="I214" s="6" t="n"/>
      <c r="J214" s="6" t="n"/>
      <c r="K214" s="5">
        <f>IF(E214="","",E214-G214-N(M214))</f>
        <v/>
      </c>
      <c r="L214" s="10" t="n"/>
      <c r="M214" s="3" t="n"/>
      <c r="N214" s="5">
        <f>IF(OR(E214="",H214="",H214=0),"",K214/H214)</f>
        <v/>
      </c>
      <c r="O214" s="10" t="n"/>
    </row>
    <row r="215">
      <c r="A215" s="6" t="n"/>
      <c r="B215" s="10" t="n"/>
      <c r="C215" s="10" t="n"/>
      <c r="D215" s="10" t="n"/>
      <c r="E215" s="3" t="n"/>
      <c r="F215" s="4">
        <f>IF(E215="","",Goal!$B$4)</f>
        <v/>
      </c>
      <c r="G215" s="5">
        <f>IF(E215="","",E215*F215)</f>
        <v/>
      </c>
      <c r="H215" s="10" t="n"/>
      <c r="I215" s="6" t="n"/>
      <c r="J215" s="6" t="n"/>
      <c r="K215" s="5">
        <f>IF(E215="","",E215-G215-N(M215))</f>
        <v/>
      </c>
      <c r="L215" s="10" t="n"/>
      <c r="M215" s="3" t="n"/>
      <c r="N215" s="5">
        <f>IF(OR(E215="",H215="",H215=0),"",K215/H215)</f>
        <v/>
      </c>
      <c r="O215" s="10" t="n"/>
    </row>
    <row r="216">
      <c r="A216" s="6" t="n"/>
      <c r="B216" s="10" t="n"/>
      <c r="C216" s="10" t="n"/>
      <c r="D216" s="10" t="n"/>
      <c r="E216" s="3" t="n"/>
      <c r="F216" s="4">
        <f>IF(E216="","",Goal!$B$4)</f>
        <v/>
      </c>
      <c r="G216" s="5">
        <f>IF(E216="","",E216*F216)</f>
        <v/>
      </c>
      <c r="H216" s="10" t="n"/>
      <c r="I216" s="6" t="n"/>
      <c r="J216" s="6" t="n"/>
      <c r="K216" s="5">
        <f>IF(E216="","",E216-G216-N(M216))</f>
        <v/>
      </c>
      <c r="L216" s="10" t="n"/>
      <c r="M216" s="3" t="n"/>
      <c r="N216" s="5">
        <f>IF(OR(E216="",H216="",H216=0),"",K216/H216)</f>
        <v/>
      </c>
      <c r="O216" s="10" t="n"/>
    </row>
    <row r="217">
      <c r="A217" s="6" t="n"/>
      <c r="B217" s="10" t="n"/>
      <c r="C217" s="10" t="n"/>
      <c r="D217" s="10" t="n"/>
      <c r="E217" s="3" t="n"/>
      <c r="F217" s="4">
        <f>IF(E217="","",Goal!$B$4)</f>
        <v/>
      </c>
      <c r="G217" s="5">
        <f>IF(E217="","",E217*F217)</f>
        <v/>
      </c>
      <c r="H217" s="10" t="n"/>
      <c r="I217" s="6" t="n"/>
      <c r="J217" s="6" t="n"/>
      <c r="K217" s="5">
        <f>IF(E217="","",E217-G217-N(M217))</f>
        <v/>
      </c>
      <c r="L217" s="10" t="n"/>
      <c r="M217" s="3" t="n"/>
      <c r="N217" s="5">
        <f>IF(OR(E217="",H217="",H217=0),"",K217/H217)</f>
        <v/>
      </c>
      <c r="O217" s="10" t="n"/>
    </row>
    <row r="218">
      <c r="A218" s="6" t="n"/>
      <c r="B218" s="10" t="n"/>
      <c r="C218" s="10" t="n"/>
      <c r="D218" s="10" t="n"/>
      <c r="E218" s="3" t="n"/>
      <c r="F218" s="4">
        <f>IF(E218="","",Goal!$B$4)</f>
        <v/>
      </c>
      <c r="G218" s="5">
        <f>IF(E218="","",E218*F218)</f>
        <v/>
      </c>
      <c r="H218" s="10" t="n"/>
      <c r="I218" s="6" t="n"/>
      <c r="J218" s="6" t="n"/>
      <c r="K218" s="5">
        <f>IF(E218="","",E218-G218-N(M218))</f>
        <v/>
      </c>
      <c r="L218" s="10" t="n"/>
      <c r="M218" s="3" t="n"/>
      <c r="N218" s="5">
        <f>IF(OR(E218="",H218="",H218=0),"",K218/H218)</f>
        <v/>
      </c>
      <c r="O218" s="10" t="n"/>
    </row>
    <row r="219">
      <c r="A219" s="6" t="n"/>
      <c r="B219" s="10" t="n"/>
      <c r="C219" s="10" t="n"/>
      <c r="D219" s="10" t="n"/>
      <c r="E219" s="3" t="n"/>
      <c r="F219" s="4">
        <f>IF(E219="","",Goal!$B$4)</f>
        <v/>
      </c>
      <c r="G219" s="5">
        <f>IF(E219="","",E219*F219)</f>
        <v/>
      </c>
      <c r="H219" s="10" t="n"/>
      <c r="I219" s="6" t="n"/>
      <c r="J219" s="6" t="n"/>
      <c r="K219" s="5">
        <f>IF(E219="","",E219-G219-N(M219))</f>
        <v/>
      </c>
      <c r="L219" s="10" t="n"/>
      <c r="M219" s="3" t="n"/>
      <c r="N219" s="5">
        <f>IF(OR(E219="",H219="",H219=0),"",K219/H219)</f>
        <v/>
      </c>
      <c r="O219" s="10" t="n"/>
    </row>
    <row r="220">
      <c r="A220" s="6" t="n"/>
      <c r="B220" s="10" t="n"/>
      <c r="C220" s="10" t="n"/>
      <c r="D220" s="10" t="n"/>
      <c r="E220" s="3" t="n"/>
      <c r="F220" s="4">
        <f>IF(E220="","",Goal!$B$4)</f>
        <v/>
      </c>
      <c r="G220" s="5">
        <f>IF(E220="","",E220*F220)</f>
        <v/>
      </c>
      <c r="H220" s="10" t="n"/>
      <c r="I220" s="6" t="n"/>
      <c r="J220" s="6" t="n"/>
      <c r="K220" s="5">
        <f>IF(E220="","",E220-G220-N(M220))</f>
        <v/>
      </c>
      <c r="L220" s="10" t="n"/>
      <c r="M220" s="3" t="n"/>
      <c r="N220" s="5">
        <f>IF(OR(E220="",H220="",H220=0),"",K220/H220)</f>
        <v/>
      </c>
      <c r="O220" s="10" t="n"/>
    </row>
    <row r="221">
      <c r="A221" s="6" t="n"/>
      <c r="B221" s="10" t="n"/>
      <c r="C221" s="10" t="n"/>
      <c r="D221" s="10" t="n"/>
      <c r="E221" s="3" t="n"/>
      <c r="F221" s="4">
        <f>IF(E221="","",Goal!$B$4)</f>
        <v/>
      </c>
      <c r="G221" s="5">
        <f>IF(E221="","",E221*F221)</f>
        <v/>
      </c>
      <c r="H221" s="10" t="n"/>
      <c r="I221" s="6" t="n"/>
      <c r="J221" s="6" t="n"/>
      <c r="K221" s="5">
        <f>IF(E221="","",E221-G221-N(M221))</f>
        <v/>
      </c>
      <c r="L221" s="10" t="n"/>
      <c r="M221" s="3" t="n"/>
      <c r="N221" s="5">
        <f>IF(OR(E221="",H221="",H221=0),"",K221/H221)</f>
        <v/>
      </c>
      <c r="O221" s="10" t="n"/>
    </row>
    <row r="222">
      <c r="A222" s="6" t="n"/>
      <c r="B222" s="10" t="n"/>
      <c r="C222" s="10" t="n"/>
      <c r="D222" s="10" t="n"/>
      <c r="E222" s="3" t="n"/>
      <c r="F222" s="4">
        <f>IF(E222="","",Goal!$B$4)</f>
        <v/>
      </c>
      <c r="G222" s="5">
        <f>IF(E222="","",E222*F222)</f>
        <v/>
      </c>
      <c r="H222" s="10" t="n"/>
      <c r="I222" s="6" t="n"/>
      <c r="J222" s="6" t="n"/>
      <c r="K222" s="5">
        <f>IF(E222="","",E222-G222-N(M222))</f>
        <v/>
      </c>
      <c r="L222" s="10" t="n"/>
      <c r="M222" s="3" t="n"/>
      <c r="N222" s="5">
        <f>IF(OR(E222="",H222="",H222=0),"",K222/H222)</f>
        <v/>
      </c>
      <c r="O222" s="10" t="n"/>
    </row>
    <row r="223">
      <c r="A223" s="6" t="n"/>
      <c r="B223" s="10" t="n"/>
      <c r="C223" s="10" t="n"/>
      <c r="D223" s="10" t="n"/>
      <c r="E223" s="3" t="n"/>
      <c r="F223" s="4">
        <f>IF(E223="","",Goal!$B$4)</f>
        <v/>
      </c>
      <c r="G223" s="5">
        <f>IF(E223="","",E223*F223)</f>
        <v/>
      </c>
      <c r="H223" s="10" t="n"/>
      <c r="I223" s="6" t="n"/>
      <c r="J223" s="6" t="n"/>
      <c r="K223" s="5">
        <f>IF(E223="","",E223-G223-N(M223))</f>
        <v/>
      </c>
      <c r="L223" s="10" t="n"/>
      <c r="M223" s="3" t="n"/>
      <c r="N223" s="5">
        <f>IF(OR(E223="",H223="",H223=0),"",K223/H223)</f>
        <v/>
      </c>
      <c r="O223" s="10" t="n"/>
    </row>
    <row r="224">
      <c r="A224" s="6" t="n"/>
      <c r="B224" s="10" t="n"/>
      <c r="C224" s="10" t="n"/>
      <c r="D224" s="10" t="n"/>
      <c r="E224" s="3" t="n"/>
      <c r="F224" s="4">
        <f>IF(E224="","",Goal!$B$4)</f>
        <v/>
      </c>
      <c r="G224" s="5">
        <f>IF(E224="","",E224*F224)</f>
        <v/>
      </c>
      <c r="H224" s="10" t="n"/>
      <c r="I224" s="6" t="n"/>
      <c r="J224" s="6" t="n"/>
      <c r="K224" s="5">
        <f>IF(E224="","",E224-G224-N(M224))</f>
        <v/>
      </c>
      <c r="L224" s="10" t="n"/>
      <c r="M224" s="3" t="n"/>
      <c r="N224" s="5">
        <f>IF(OR(E224="",H224="",H224=0),"",K224/H224)</f>
        <v/>
      </c>
      <c r="O224" s="10" t="n"/>
    </row>
    <row r="225">
      <c r="A225" s="6" t="n"/>
      <c r="B225" s="10" t="n"/>
      <c r="C225" s="10" t="n"/>
      <c r="D225" s="10" t="n"/>
      <c r="E225" s="3" t="n"/>
      <c r="F225" s="4">
        <f>IF(E225="","",Goal!$B$4)</f>
        <v/>
      </c>
      <c r="G225" s="5">
        <f>IF(E225="","",E225*F225)</f>
        <v/>
      </c>
      <c r="H225" s="10" t="n"/>
      <c r="I225" s="6" t="n"/>
      <c r="J225" s="6" t="n"/>
      <c r="K225" s="5">
        <f>IF(E225="","",E225-G225-N(M225))</f>
        <v/>
      </c>
      <c r="L225" s="10" t="n"/>
      <c r="M225" s="3" t="n"/>
      <c r="N225" s="5">
        <f>IF(OR(E225="",H225="",H225=0),"",K225/H225)</f>
        <v/>
      </c>
      <c r="O225" s="10" t="n"/>
    </row>
    <row r="226">
      <c r="A226" s="6" t="n"/>
      <c r="B226" s="10" t="n"/>
      <c r="C226" s="10" t="n"/>
      <c r="D226" s="10" t="n"/>
      <c r="E226" s="3" t="n"/>
      <c r="F226" s="4">
        <f>IF(E226="","",Goal!$B$4)</f>
        <v/>
      </c>
      <c r="G226" s="5">
        <f>IF(E226="","",E226*F226)</f>
        <v/>
      </c>
      <c r="H226" s="10" t="n"/>
      <c r="I226" s="6" t="n"/>
      <c r="J226" s="6" t="n"/>
      <c r="K226" s="5">
        <f>IF(E226="","",E226-G226-N(M226))</f>
        <v/>
      </c>
      <c r="L226" s="10" t="n"/>
      <c r="M226" s="3" t="n"/>
      <c r="N226" s="5">
        <f>IF(OR(E226="",H226="",H226=0),"",K226/H226)</f>
        <v/>
      </c>
      <c r="O226" s="10" t="n"/>
    </row>
    <row r="227">
      <c r="A227" s="6" t="n"/>
      <c r="B227" s="10" t="n"/>
      <c r="C227" s="10" t="n"/>
      <c r="D227" s="10" t="n"/>
      <c r="E227" s="3" t="n"/>
      <c r="F227" s="4">
        <f>IF(E227="","",Goal!$B$4)</f>
        <v/>
      </c>
      <c r="G227" s="5">
        <f>IF(E227="","",E227*F227)</f>
        <v/>
      </c>
      <c r="H227" s="10" t="n"/>
      <c r="I227" s="6" t="n"/>
      <c r="J227" s="6" t="n"/>
      <c r="K227" s="5">
        <f>IF(E227="","",E227-G227-N(M227))</f>
        <v/>
      </c>
      <c r="L227" s="10" t="n"/>
      <c r="M227" s="3" t="n"/>
      <c r="N227" s="5">
        <f>IF(OR(E227="",H227="",H227=0),"",K227/H227)</f>
        <v/>
      </c>
      <c r="O227" s="10" t="n"/>
    </row>
    <row r="228">
      <c r="A228" s="6" t="n"/>
      <c r="B228" s="10" t="n"/>
      <c r="C228" s="10" t="n"/>
      <c r="D228" s="10" t="n"/>
      <c r="E228" s="3" t="n"/>
      <c r="F228" s="4">
        <f>IF(E228="","",Goal!$B$4)</f>
        <v/>
      </c>
      <c r="G228" s="5">
        <f>IF(E228="","",E228*F228)</f>
        <v/>
      </c>
      <c r="H228" s="10" t="n"/>
      <c r="I228" s="6" t="n"/>
      <c r="J228" s="6" t="n"/>
      <c r="K228" s="5">
        <f>IF(E228="","",E228-G228-N(M228))</f>
        <v/>
      </c>
      <c r="L228" s="10" t="n"/>
      <c r="M228" s="3" t="n"/>
      <c r="N228" s="5">
        <f>IF(OR(E228="",H228="",H228=0),"",K228/H228)</f>
        <v/>
      </c>
      <c r="O228" s="10" t="n"/>
    </row>
    <row r="229">
      <c r="A229" s="6" t="n"/>
      <c r="B229" s="10" t="n"/>
      <c r="C229" s="10" t="n"/>
      <c r="D229" s="10" t="n"/>
      <c r="E229" s="3" t="n"/>
      <c r="F229" s="4">
        <f>IF(E229="","",Goal!$B$4)</f>
        <v/>
      </c>
      <c r="G229" s="5">
        <f>IF(E229="","",E229*F229)</f>
        <v/>
      </c>
      <c r="H229" s="10" t="n"/>
      <c r="I229" s="6" t="n"/>
      <c r="J229" s="6" t="n"/>
      <c r="K229" s="5">
        <f>IF(E229="","",E229-G229-N(M229))</f>
        <v/>
      </c>
      <c r="L229" s="10" t="n"/>
      <c r="M229" s="3" t="n"/>
      <c r="N229" s="5">
        <f>IF(OR(E229="",H229="",H229=0),"",K229/H229)</f>
        <v/>
      </c>
      <c r="O229" s="10" t="n"/>
    </row>
    <row r="230">
      <c r="A230" s="6" t="n"/>
      <c r="B230" s="10" t="n"/>
      <c r="C230" s="10" t="n"/>
      <c r="D230" s="10" t="n"/>
      <c r="E230" s="3" t="n"/>
      <c r="F230" s="4">
        <f>IF(E230="","",Goal!$B$4)</f>
        <v/>
      </c>
      <c r="G230" s="5">
        <f>IF(E230="","",E230*F230)</f>
        <v/>
      </c>
      <c r="H230" s="10" t="n"/>
      <c r="I230" s="6" t="n"/>
      <c r="J230" s="6" t="n"/>
      <c r="K230" s="5">
        <f>IF(E230="","",E230-G230-N(M230))</f>
        <v/>
      </c>
      <c r="L230" s="10" t="n"/>
      <c r="M230" s="3" t="n"/>
      <c r="N230" s="5">
        <f>IF(OR(E230="",H230="",H230=0),"",K230/H230)</f>
        <v/>
      </c>
      <c r="O230" s="10" t="n"/>
    </row>
    <row r="231">
      <c r="A231" s="6" t="n"/>
      <c r="B231" s="10" t="n"/>
      <c r="C231" s="10" t="n"/>
      <c r="D231" s="10" t="n"/>
      <c r="E231" s="3" t="n"/>
      <c r="F231" s="4">
        <f>IF(E231="","",Goal!$B$4)</f>
        <v/>
      </c>
      <c r="G231" s="5">
        <f>IF(E231="","",E231*F231)</f>
        <v/>
      </c>
      <c r="H231" s="10" t="n"/>
      <c r="I231" s="6" t="n"/>
      <c r="J231" s="6" t="n"/>
      <c r="K231" s="5">
        <f>IF(E231="","",E231-G231-N(M231))</f>
        <v/>
      </c>
      <c r="L231" s="10" t="n"/>
      <c r="M231" s="3" t="n"/>
      <c r="N231" s="5">
        <f>IF(OR(E231="",H231="",H231=0),"",K231/H231)</f>
        <v/>
      </c>
      <c r="O231" s="10" t="n"/>
    </row>
    <row r="232">
      <c r="A232" s="6" t="n"/>
      <c r="B232" s="10" t="n"/>
      <c r="C232" s="10" t="n"/>
      <c r="D232" s="10" t="n"/>
      <c r="E232" s="3" t="n"/>
      <c r="F232" s="4">
        <f>IF(E232="","",Goal!$B$4)</f>
        <v/>
      </c>
      <c r="G232" s="5">
        <f>IF(E232="","",E232*F232)</f>
        <v/>
      </c>
      <c r="H232" s="10" t="n"/>
      <c r="I232" s="6" t="n"/>
      <c r="J232" s="6" t="n"/>
      <c r="K232" s="5">
        <f>IF(E232="","",E232-G232-N(M232))</f>
        <v/>
      </c>
      <c r="L232" s="10" t="n"/>
      <c r="M232" s="3" t="n"/>
      <c r="N232" s="5">
        <f>IF(OR(E232="",H232="",H232=0),"",K232/H232)</f>
        <v/>
      </c>
      <c r="O232" s="10" t="n"/>
    </row>
    <row r="233">
      <c r="A233" s="6" t="n"/>
      <c r="B233" s="10" t="n"/>
      <c r="C233" s="10" t="n"/>
      <c r="D233" s="10" t="n"/>
      <c r="E233" s="3" t="n"/>
      <c r="F233" s="4">
        <f>IF(E233="","",Goal!$B$4)</f>
        <v/>
      </c>
      <c r="G233" s="5">
        <f>IF(E233="","",E233*F233)</f>
        <v/>
      </c>
      <c r="H233" s="10" t="n"/>
      <c r="I233" s="6" t="n"/>
      <c r="J233" s="6" t="n"/>
      <c r="K233" s="5">
        <f>IF(E233="","",E233-G233-N(M233))</f>
        <v/>
      </c>
      <c r="L233" s="10" t="n"/>
      <c r="M233" s="3" t="n"/>
      <c r="N233" s="5">
        <f>IF(OR(E233="",H233="",H233=0),"",K233/H233)</f>
        <v/>
      </c>
      <c r="O233" s="10" t="n"/>
    </row>
    <row r="234">
      <c r="A234" s="6" t="n"/>
      <c r="B234" s="10" t="n"/>
      <c r="C234" s="10" t="n"/>
      <c r="D234" s="10" t="n"/>
      <c r="E234" s="3" t="n"/>
      <c r="F234" s="4">
        <f>IF(E234="","",Goal!$B$4)</f>
        <v/>
      </c>
      <c r="G234" s="5">
        <f>IF(E234="","",E234*F234)</f>
        <v/>
      </c>
      <c r="H234" s="10" t="n"/>
      <c r="I234" s="6" t="n"/>
      <c r="J234" s="6" t="n"/>
      <c r="K234" s="5">
        <f>IF(E234="","",E234-G234-N(M234))</f>
        <v/>
      </c>
      <c r="L234" s="10" t="n"/>
      <c r="M234" s="3" t="n"/>
      <c r="N234" s="5">
        <f>IF(OR(E234="",H234="",H234=0),"",K234/H234)</f>
        <v/>
      </c>
      <c r="O234" s="10" t="n"/>
    </row>
    <row r="235">
      <c r="A235" s="6" t="n"/>
      <c r="B235" s="10" t="n"/>
      <c r="C235" s="10" t="n"/>
      <c r="D235" s="10" t="n"/>
      <c r="E235" s="3" t="n"/>
      <c r="F235" s="4">
        <f>IF(E235="","",Goal!$B$4)</f>
        <v/>
      </c>
      <c r="G235" s="5">
        <f>IF(E235="","",E235*F235)</f>
        <v/>
      </c>
      <c r="H235" s="10" t="n"/>
      <c r="I235" s="6" t="n"/>
      <c r="J235" s="6" t="n"/>
      <c r="K235" s="5">
        <f>IF(E235="","",E235-G235-N(M235))</f>
        <v/>
      </c>
      <c r="L235" s="10" t="n"/>
      <c r="M235" s="3" t="n"/>
      <c r="N235" s="5">
        <f>IF(OR(E235="",H235="",H235=0),"",K235/H235)</f>
        <v/>
      </c>
      <c r="O235" s="10" t="n"/>
    </row>
    <row r="236">
      <c r="A236" s="6" t="n"/>
      <c r="B236" s="10" t="n"/>
      <c r="C236" s="10" t="n"/>
      <c r="D236" s="10" t="n"/>
      <c r="E236" s="3" t="n"/>
      <c r="F236" s="4">
        <f>IF(E236="","",Goal!$B$4)</f>
        <v/>
      </c>
      <c r="G236" s="5">
        <f>IF(E236="","",E236*F236)</f>
        <v/>
      </c>
      <c r="H236" s="10" t="n"/>
      <c r="I236" s="6" t="n"/>
      <c r="J236" s="6" t="n"/>
      <c r="K236" s="5">
        <f>IF(E236="","",E236-G236-N(M236))</f>
        <v/>
      </c>
      <c r="L236" s="10" t="n"/>
      <c r="M236" s="3" t="n"/>
      <c r="N236" s="5">
        <f>IF(OR(E236="",H236="",H236=0),"",K236/H236)</f>
        <v/>
      </c>
      <c r="O236" s="10" t="n"/>
    </row>
    <row r="237">
      <c r="A237" s="6" t="n"/>
      <c r="B237" s="10" t="n"/>
      <c r="C237" s="10" t="n"/>
      <c r="D237" s="10" t="n"/>
      <c r="E237" s="3" t="n"/>
      <c r="F237" s="4">
        <f>IF(E237="","",Goal!$B$4)</f>
        <v/>
      </c>
      <c r="G237" s="5">
        <f>IF(E237="","",E237*F237)</f>
        <v/>
      </c>
      <c r="H237" s="10" t="n"/>
      <c r="I237" s="6" t="n"/>
      <c r="J237" s="6" t="n"/>
      <c r="K237" s="5">
        <f>IF(E237="","",E237-G237-N(M237))</f>
        <v/>
      </c>
      <c r="L237" s="10" t="n"/>
      <c r="M237" s="3" t="n"/>
      <c r="N237" s="5">
        <f>IF(OR(E237="",H237="",H237=0),"",K237/H237)</f>
        <v/>
      </c>
      <c r="O237" s="10" t="n"/>
    </row>
    <row r="238">
      <c r="A238" s="6" t="n"/>
      <c r="B238" s="10" t="n"/>
      <c r="C238" s="10" t="n"/>
      <c r="D238" s="10" t="n"/>
      <c r="E238" s="3" t="n"/>
      <c r="F238" s="4">
        <f>IF(E238="","",Goal!$B$4)</f>
        <v/>
      </c>
      <c r="G238" s="5">
        <f>IF(E238="","",E238*F238)</f>
        <v/>
      </c>
      <c r="H238" s="10" t="n"/>
      <c r="I238" s="6" t="n"/>
      <c r="J238" s="6" t="n"/>
      <c r="K238" s="5">
        <f>IF(E238="","",E238-G238-N(M238))</f>
        <v/>
      </c>
      <c r="L238" s="10" t="n"/>
      <c r="M238" s="3" t="n"/>
      <c r="N238" s="5">
        <f>IF(OR(E238="",H238="",H238=0),"",K238/H238)</f>
        <v/>
      </c>
      <c r="O238" s="10" t="n"/>
    </row>
    <row r="239">
      <c r="A239" s="6" t="n"/>
      <c r="B239" s="10" t="n"/>
      <c r="C239" s="10" t="n"/>
      <c r="D239" s="10" t="n"/>
      <c r="E239" s="3" t="n"/>
      <c r="F239" s="4">
        <f>IF(E239="","",Goal!$B$4)</f>
        <v/>
      </c>
      <c r="G239" s="5">
        <f>IF(E239="","",E239*F239)</f>
        <v/>
      </c>
      <c r="H239" s="10" t="n"/>
      <c r="I239" s="6" t="n"/>
      <c r="J239" s="6" t="n"/>
      <c r="K239" s="5">
        <f>IF(E239="","",E239-G239-N(M239))</f>
        <v/>
      </c>
      <c r="L239" s="10" t="n"/>
      <c r="M239" s="3" t="n"/>
      <c r="N239" s="5">
        <f>IF(OR(E239="",H239="",H239=0),"",K239/H239)</f>
        <v/>
      </c>
      <c r="O239" s="10" t="n"/>
    </row>
    <row r="240">
      <c r="A240" s="6" t="n"/>
      <c r="B240" s="10" t="n"/>
      <c r="C240" s="10" t="n"/>
      <c r="D240" s="10" t="n"/>
      <c r="E240" s="3" t="n"/>
      <c r="F240" s="4">
        <f>IF(E240="","",Goal!$B$4)</f>
        <v/>
      </c>
      <c r="G240" s="5">
        <f>IF(E240="","",E240*F240)</f>
        <v/>
      </c>
      <c r="H240" s="10" t="n"/>
      <c r="I240" s="6" t="n"/>
      <c r="J240" s="6" t="n"/>
      <c r="K240" s="5">
        <f>IF(E240="","",E240-G240-N(M240))</f>
        <v/>
      </c>
      <c r="L240" s="10" t="n"/>
      <c r="M240" s="3" t="n"/>
      <c r="N240" s="5">
        <f>IF(OR(E240="",H240="",H240=0),"",K240/H240)</f>
        <v/>
      </c>
      <c r="O240" s="10" t="n"/>
    </row>
    <row r="241">
      <c r="A241" s="6" t="n"/>
      <c r="B241" s="10" t="n"/>
      <c r="C241" s="10" t="n"/>
      <c r="D241" s="10" t="n"/>
      <c r="E241" s="3" t="n"/>
      <c r="F241" s="4">
        <f>IF(E241="","",Goal!$B$4)</f>
        <v/>
      </c>
      <c r="G241" s="5">
        <f>IF(E241="","",E241*F241)</f>
        <v/>
      </c>
      <c r="H241" s="10" t="n"/>
      <c r="I241" s="6" t="n"/>
      <c r="J241" s="6" t="n"/>
      <c r="K241" s="5">
        <f>IF(E241="","",E241-G241-N(M241))</f>
        <v/>
      </c>
      <c r="L241" s="10" t="n"/>
      <c r="M241" s="3" t="n"/>
      <c r="N241" s="5">
        <f>IF(OR(E241="",H241="",H241=0),"",K241/H241)</f>
        <v/>
      </c>
      <c r="O241" s="10" t="n"/>
    </row>
    <row r="242">
      <c r="A242" s="6" t="n"/>
      <c r="B242" s="10" t="n"/>
      <c r="C242" s="10" t="n"/>
      <c r="D242" s="10" t="n"/>
      <c r="E242" s="3" t="n"/>
      <c r="F242" s="4">
        <f>IF(E242="","",Goal!$B$4)</f>
        <v/>
      </c>
      <c r="G242" s="5">
        <f>IF(E242="","",E242*F242)</f>
        <v/>
      </c>
      <c r="H242" s="10" t="n"/>
      <c r="I242" s="6" t="n"/>
      <c r="J242" s="6" t="n"/>
      <c r="K242" s="5">
        <f>IF(E242="","",E242-G242-N(M242))</f>
        <v/>
      </c>
      <c r="L242" s="10" t="n"/>
      <c r="M242" s="3" t="n"/>
      <c r="N242" s="5">
        <f>IF(OR(E242="",H242="",H242=0),"",K242/H242)</f>
        <v/>
      </c>
      <c r="O242" s="10" t="n"/>
    </row>
    <row r="243">
      <c r="A243" s="6" t="n"/>
      <c r="B243" s="10" t="n"/>
      <c r="C243" s="10" t="n"/>
      <c r="D243" s="10" t="n"/>
      <c r="E243" s="3" t="n"/>
      <c r="F243" s="4">
        <f>IF(E243="","",Goal!$B$4)</f>
        <v/>
      </c>
      <c r="G243" s="5">
        <f>IF(E243="","",E243*F243)</f>
        <v/>
      </c>
      <c r="H243" s="10" t="n"/>
      <c r="I243" s="6" t="n"/>
      <c r="J243" s="6" t="n"/>
      <c r="K243" s="5">
        <f>IF(E243="","",E243-G243-N(M243))</f>
        <v/>
      </c>
      <c r="L243" s="10" t="n"/>
      <c r="M243" s="3" t="n"/>
      <c r="N243" s="5">
        <f>IF(OR(E243="",H243="",H243=0),"",K243/H243)</f>
        <v/>
      </c>
      <c r="O243" s="10" t="n"/>
    </row>
    <row r="244">
      <c r="A244" s="6" t="n"/>
      <c r="B244" s="10" t="n"/>
      <c r="C244" s="10" t="n"/>
      <c r="D244" s="10" t="n"/>
      <c r="E244" s="3" t="n"/>
      <c r="F244" s="4">
        <f>IF(E244="","",Goal!$B$4)</f>
        <v/>
      </c>
      <c r="G244" s="5">
        <f>IF(E244="","",E244*F244)</f>
        <v/>
      </c>
      <c r="H244" s="10" t="n"/>
      <c r="I244" s="6" t="n"/>
      <c r="J244" s="6" t="n"/>
      <c r="K244" s="5">
        <f>IF(E244="","",E244-G244-N(M244))</f>
        <v/>
      </c>
      <c r="L244" s="10" t="n"/>
      <c r="M244" s="3" t="n"/>
      <c r="N244" s="5">
        <f>IF(OR(E244="",H244="",H244=0),"",K244/H244)</f>
        <v/>
      </c>
      <c r="O244" s="10" t="n"/>
    </row>
    <row r="245">
      <c r="A245" s="6" t="n"/>
      <c r="B245" s="10" t="n"/>
      <c r="C245" s="10" t="n"/>
      <c r="D245" s="10" t="n"/>
      <c r="E245" s="3" t="n"/>
      <c r="F245" s="4">
        <f>IF(E245="","",Goal!$B$4)</f>
        <v/>
      </c>
      <c r="G245" s="5">
        <f>IF(E245="","",E245*F245)</f>
        <v/>
      </c>
      <c r="H245" s="10" t="n"/>
      <c r="I245" s="6" t="n"/>
      <c r="J245" s="6" t="n"/>
      <c r="K245" s="5">
        <f>IF(E245="","",E245-G245-N(M245))</f>
        <v/>
      </c>
      <c r="L245" s="10" t="n"/>
      <c r="M245" s="3" t="n"/>
      <c r="N245" s="5">
        <f>IF(OR(E245="",H245="",H245=0),"",K245/H245)</f>
        <v/>
      </c>
      <c r="O245" s="10" t="n"/>
    </row>
    <row r="246">
      <c r="A246" s="6" t="n"/>
      <c r="B246" s="10" t="n"/>
      <c r="C246" s="10" t="n"/>
      <c r="D246" s="10" t="n"/>
      <c r="E246" s="3" t="n"/>
      <c r="F246" s="4">
        <f>IF(E246="","",Goal!$B$4)</f>
        <v/>
      </c>
      <c r="G246" s="5">
        <f>IF(E246="","",E246*F246)</f>
        <v/>
      </c>
      <c r="H246" s="10" t="n"/>
      <c r="I246" s="6" t="n"/>
      <c r="J246" s="6" t="n"/>
      <c r="K246" s="5">
        <f>IF(E246="","",E246-G246-N(M246))</f>
        <v/>
      </c>
      <c r="L246" s="10" t="n"/>
      <c r="M246" s="3" t="n"/>
      <c r="N246" s="5">
        <f>IF(OR(E246="",H246="",H246=0),"",K246/H246)</f>
        <v/>
      </c>
      <c r="O246" s="10" t="n"/>
    </row>
    <row r="247">
      <c r="A247" s="6" t="n"/>
      <c r="B247" s="10" t="n"/>
      <c r="C247" s="10" t="n"/>
      <c r="D247" s="10" t="n"/>
      <c r="E247" s="3" t="n"/>
      <c r="F247" s="4">
        <f>IF(E247="","",Goal!$B$4)</f>
        <v/>
      </c>
      <c r="G247" s="5">
        <f>IF(E247="","",E247*F247)</f>
        <v/>
      </c>
      <c r="H247" s="10" t="n"/>
      <c r="I247" s="6" t="n"/>
      <c r="J247" s="6" t="n"/>
      <c r="K247" s="5">
        <f>IF(E247="","",E247-G247-N(M247))</f>
        <v/>
      </c>
      <c r="L247" s="10" t="n"/>
      <c r="M247" s="3" t="n"/>
      <c r="N247" s="5">
        <f>IF(OR(E247="",H247="",H247=0),"",K247/H247)</f>
        <v/>
      </c>
      <c r="O247" s="10" t="n"/>
    </row>
    <row r="248">
      <c r="A248" s="6" t="n"/>
      <c r="B248" s="10" t="n"/>
      <c r="C248" s="10" t="n"/>
      <c r="D248" s="10" t="n"/>
      <c r="E248" s="3" t="n"/>
      <c r="F248" s="4">
        <f>IF(E248="","",Goal!$B$4)</f>
        <v/>
      </c>
      <c r="G248" s="5">
        <f>IF(E248="","",E248*F248)</f>
        <v/>
      </c>
      <c r="H248" s="10" t="n"/>
      <c r="I248" s="6" t="n"/>
      <c r="J248" s="6" t="n"/>
      <c r="K248" s="5">
        <f>IF(E248="","",E248-G248-N(M248))</f>
        <v/>
      </c>
      <c r="L248" s="10" t="n"/>
      <c r="M248" s="3" t="n"/>
      <c r="N248" s="5">
        <f>IF(OR(E248="",H248="",H248=0),"",K248/H248)</f>
        <v/>
      </c>
      <c r="O248" s="10" t="n"/>
    </row>
    <row r="249">
      <c r="A249" s="6" t="n"/>
      <c r="B249" s="10" t="n"/>
      <c r="C249" s="10" t="n"/>
      <c r="D249" s="10" t="n"/>
      <c r="E249" s="3" t="n"/>
      <c r="F249" s="4">
        <f>IF(E249="","",Goal!$B$4)</f>
        <v/>
      </c>
      <c r="G249" s="5">
        <f>IF(E249="","",E249*F249)</f>
        <v/>
      </c>
      <c r="H249" s="10" t="n"/>
      <c r="I249" s="6" t="n"/>
      <c r="J249" s="6" t="n"/>
      <c r="K249" s="5">
        <f>IF(E249="","",E249-G249-N(M249))</f>
        <v/>
      </c>
      <c r="L249" s="10" t="n"/>
      <c r="M249" s="3" t="n"/>
      <c r="N249" s="5">
        <f>IF(OR(E249="",H249="",H249=0),"",K249/H249)</f>
        <v/>
      </c>
      <c r="O249" s="10" t="n"/>
    </row>
    <row r="250">
      <c r="A250" s="6" t="n"/>
      <c r="B250" s="10" t="n"/>
      <c r="C250" s="10" t="n"/>
      <c r="D250" s="10" t="n"/>
      <c r="E250" s="3" t="n"/>
      <c r="F250" s="4">
        <f>IF(E250="","",Goal!$B$4)</f>
        <v/>
      </c>
      <c r="G250" s="5">
        <f>IF(E250="","",E250*F250)</f>
        <v/>
      </c>
      <c r="H250" s="10" t="n"/>
      <c r="I250" s="6" t="n"/>
      <c r="J250" s="6" t="n"/>
      <c r="K250" s="5">
        <f>IF(E250="","",E250-G250-N(M250))</f>
        <v/>
      </c>
      <c r="L250" s="10" t="n"/>
      <c r="M250" s="3" t="n"/>
      <c r="N250" s="5">
        <f>IF(OR(E250="",H250="",H250=0),"",K250/H250)</f>
        <v/>
      </c>
      <c r="O250" s="10" t="n"/>
    </row>
    <row r="251">
      <c r="A251" s="6" t="n"/>
      <c r="B251" s="10" t="n"/>
      <c r="C251" s="10" t="n"/>
      <c r="D251" s="10" t="n"/>
      <c r="E251" s="3" t="n"/>
      <c r="F251" s="4">
        <f>IF(E251="","",Goal!$B$4)</f>
        <v/>
      </c>
      <c r="G251" s="5">
        <f>IF(E251="","",E251*F251)</f>
        <v/>
      </c>
      <c r="H251" s="10" t="n"/>
      <c r="I251" s="6" t="n"/>
      <c r="J251" s="6" t="n"/>
      <c r="K251" s="5">
        <f>IF(E251="","",E251-G251-N(M251))</f>
        <v/>
      </c>
      <c r="L251" s="10" t="n"/>
      <c r="M251" s="3" t="n"/>
      <c r="N251" s="5">
        <f>IF(OR(E251="",H251="",H251=0),"",K251/H251)</f>
        <v/>
      </c>
      <c r="O251" s="10" t="n"/>
    </row>
    <row r="252">
      <c r="A252" s="6" t="n"/>
      <c r="B252" s="10" t="n"/>
      <c r="C252" s="10" t="n"/>
      <c r="D252" s="10" t="n"/>
      <c r="E252" s="3" t="n"/>
      <c r="F252" s="4">
        <f>IF(E252="","",Goal!$B$4)</f>
        <v/>
      </c>
      <c r="G252" s="5">
        <f>IF(E252="","",E252*F252)</f>
        <v/>
      </c>
      <c r="H252" s="10" t="n"/>
      <c r="I252" s="6" t="n"/>
      <c r="J252" s="6" t="n"/>
      <c r="K252" s="5">
        <f>IF(E252="","",E252-G252-N(M252))</f>
        <v/>
      </c>
      <c r="L252" s="10" t="n"/>
      <c r="M252" s="3" t="n"/>
      <c r="N252" s="5">
        <f>IF(OR(E252="",H252="",H252=0),"",K252/H252)</f>
        <v/>
      </c>
      <c r="O252" s="10" t="n"/>
    </row>
    <row r="253">
      <c r="A253" s="6" t="n"/>
      <c r="B253" s="10" t="n"/>
      <c r="C253" s="10" t="n"/>
      <c r="D253" s="10" t="n"/>
      <c r="E253" s="3" t="n"/>
      <c r="F253" s="4">
        <f>IF(E253="","",Goal!$B$4)</f>
        <v/>
      </c>
      <c r="G253" s="5">
        <f>IF(E253="","",E253*F253)</f>
        <v/>
      </c>
      <c r="H253" s="10" t="n"/>
      <c r="I253" s="6" t="n"/>
      <c r="J253" s="6" t="n"/>
      <c r="K253" s="5">
        <f>IF(E253="","",E253-G253-N(M253))</f>
        <v/>
      </c>
      <c r="L253" s="10" t="n"/>
      <c r="M253" s="3" t="n"/>
      <c r="N253" s="5">
        <f>IF(OR(E253="",H253="",H253=0),"",K253/H253)</f>
        <v/>
      </c>
      <c r="O253" s="10" t="n"/>
    </row>
    <row r="254">
      <c r="A254" s="6" t="n"/>
      <c r="B254" s="10" t="n"/>
      <c r="C254" s="10" t="n"/>
      <c r="D254" s="10" t="n"/>
      <c r="E254" s="3" t="n"/>
      <c r="F254" s="4">
        <f>IF(E254="","",Goal!$B$4)</f>
        <v/>
      </c>
      <c r="G254" s="5">
        <f>IF(E254="","",E254*F254)</f>
        <v/>
      </c>
      <c r="H254" s="10" t="n"/>
      <c r="I254" s="6" t="n"/>
      <c r="J254" s="6" t="n"/>
      <c r="K254" s="5">
        <f>IF(E254="","",E254-G254-N(M254))</f>
        <v/>
      </c>
      <c r="L254" s="10" t="n"/>
      <c r="M254" s="3" t="n"/>
      <c r="N254" s="5">
        <f>IF(OR(E254="",H254="",H254=0),"",K254/H254)</f>
        <v/>
      </c>
      <c r="O254" s="10" t="n"/>
    </row>
    <row r="255">
      <c r="A255" s="6" t="n"/>
      <c r="B255" s="10" t="n"/>
      <c r="C255" s="10" t="n"/>
      <c r="D255" s="10" t="n"/>
      <c r="E255" s="3" t="n"/>
      <c r="F255" s="4">
        <f>IF(E255="","",Goal!$B$4)</f>
        <v/>
      </c>
      <c r="G255" s="5">
        <f>IF(E255="","",E255*F255)</f>
        <v/>
      </c>
      <c r="H255" s="10" t="n"/>
      <c r="I255" s="6" t="n"/>
      <c r="J255" s="6" t="n"/>
      <c r="K255" s="5">
        <f>IF(E255="","",E255-G255-N(M255))</f>
        <v/>
      </c>
      <c r="L255" s="10" t="n"/>
      <c r="M255" s="3" t="n"/>
      <c r="N255" s="5">
        <f>IF(OR(E255="",H255="",H255=0),"",K255/H255)</f>
        <v/>
      </c>
      <c r="O255" s="10" t="n"/>
    </row>
    <row r="256">
      <c r="A256" s="6" t="n"/>
      <c r="B256" s="10" t="n"/>
      <c r="C256" s="10" t="n"/>
      <c r="D256" s="10" t="n"/>
      <c r="E256" s="3" t="n"/>
      <c r="F256" s="4">
        <f>IF(E256="","",Goal!$B$4)</f>
        <v/>
      </c>
      <c r="G256" s="5">
        <f>IF(E256="","",E256*F256)</f>
        <v/>
      </c>
      <c r="H256" s="10" t="n"/>
      <c r="I256" s="6" t="n"/>
      <c r="J256" s="6" t="n"/>
      <c r="K256" s="5">
        <f>IF(E256="","",E256-G256-N(M256))</f>
        <v/>
      </c>
      <c r="L256" s="10" t="n"/>
      <c r="M256" s="3" t="n"/>
      <c r="N256" s="5">
        <f>IF(OR(E256="",H256="",H256=0),"",K256/H256)</f>
        <v/>
      </c>
      <c r="O256" s="10" t="n"/>
    </row>
    <row r="257">
      <c r="A257" s="6" t="n"/>
      <c r="B257" s="10" t="n"/>
      <c r="C257" s="10" t="n"/>
      <c r="D257" s="10" t="n"/>
      <c r="E257" s="3" t="n"/>
      <c r="F257" s="4">
        <f>IF(E257="","",Goal!$B$4)</f>
        <v/>
      </c>
      <c r="G257" s="5">
        <f>IF(E257="","",E257*F257)</f>
        <v/>
      </c>
      <c r="H257" s="10" t="n"/>
      <c r="I257" s="6" t="n"/>
      <c r="J257" s="6" t="n"/>
      <c r="K257" s="5">
        <f>IF(E257="","",E257-G257-N(M257))</f>
        <v/>
      </c>
      <c r="L257" s="10" t="n"/>
      <c r="M257" s="3" t="n"/>
      <c r="N257" s="5">
        <f>IF(OR(E257="",H257="",H257=0),"",K257/H257)</f>
        <v/>
      </c>
      <c r="O257" s="10" t="n"/>
    </row>
    <row r="258">
      <c r="A258" s="6" t="n"/>
      <c r="B258" s="10" t="n"/>
      <c r="C258" s="10" t="n"/>
      <c r="D258" s="10" t="n"/>
      <c r="E258" s="3" t="n"/>
      <c r="F258" s="4">
        <f>IF(E258="","",Goal!$B$4)</f>
        <v/>
      </c>
      <c r="G258" s="5">
        <f>IF(E258="","",E258*F258)</f>
        <v/>
      </c>
      <c r="H258" s="10" t="n"/>
      <c r="I258" s="6" t="n"/>
      <c r="J258" s="6" t="n"/>
      <c r="K258" s="5">
        <f>IF(E258="","",E258-G258-N(M258))</f>
        <v/>
      </c>
      <c r="L258" s="10" t="n"/>
      <c r="M258" s="3" t="n"/>
      <c r="N258" s="5">
        <f>IF(OR(E258="",H258="",H258=0),"",K258/H258)</f>
        <v/>
      </c>
      <c r="O258" s="10" t="n"/>
    </row>
    <row r="259">
      <c r="A259" s="6" t="n"/>
      <c r="B259" s="10" t="n"/>
      <c r="C259" s="10" t="n"/>
      <c r="D259" s="10" t="n"/>
      <c r="E259" s="3" t="n"/>
      <c r="F259" s="4">
        <f>IF(E259="","",Goal!$B$4)</f>
        <v/>
      </c>
      <c r="G259" s="5">
        <f>IF(E259="","",E259*F259)</f>
        <v/>
      </c>
      <c r="H259" s="10" t="n"/>
      <c r="I259" s="6" t="n"/>
      <c r="J259" s="6" t="n"/>
      <c r="K259" s="5">
        <f>IF(E259="","",E259-G259-N(M259))</f>
        <v/>
      </c>
      <c r="L259" s="10" t="n"/>
      <c r="M259" s="3" t="n"/>
      <c r="N259" s="5">
        <f>IF(OR(E259="",H259="",H259=0),"",K259/H259)</f>
        <v/>
      </c>
      <c r="O259" s="10" t="n"/>
    </row>
    <row r="260">
      <c r="A260" s="6" t="n"/>
      <c r="B260" s="10" t="n"/>
      <c r="C260" s="10" t="n"/>
      <c r="D260" s="10" t="n"/>
      <c r="E260" s="3" t="n"/>
      <c r="F260" s="4">
        <f>IF(E260="","",Goal!$B$4)</f>
        <v/>
      </c>
      <c r="G260" s="5">
        <f>IF(E260="","",E260*F260)</f>
        <v/>
      </c>
      <c r="H260" s="10" t="n"/>
      <c r="I260" s="6" t="n"/>
      <c r="J260" s="6" t="n"/>
      <c r="K260" s="5">
        <f>IF(E260="","",E260-G260-N(M260))</f>
        <v/>
      </c>
      <c r="L260" s="10" t="n"/>
      <c r="M260" s="3" t="n"/>
      <c r="N260" s="5">
        <f>IF(OR(E260="",H260="",H260=0),"",K260/H260)</f>
        <v/>
      </c>
      <c r="O260" s="10" t="n"/>
    </row>
    <row r="261">
      <c r="A261" s="6" t="n"/>
      <c r="B261" s="10" t="n"/>
      <c r="C261" s="10" t="n"/>
      <c r="D261" s="10" t="n"/>
      <c r="E261" s="3" t="n"/>
      <c r="F261" s="4">
        <f>IF(E261="","",Goal!$B$4)</f>
        <v/>
      </c>
      <c r="G261" s="5">
        <f>IF(E261="","",E261*F261)</f>
        <v/>
      </c>
      <c r="H261" s="10" t="n"/>
      <c r="I261" s="6" t="n"/>
      <c r="J261" s="6" t="n"/>
      <c r="K261" s="5">
        <f>IF(E261="","",E261-G261-N(M261))</f>
        <v/>
      </c>
      <c r="L261" s="10" t="n"/>
      <c r="M261" s="3" t="n"/>
      <c r="N261" s="5">
        <f>IF(OR(E261="",H261="",H261=0),"",K261/H261)</f>
        <v/>
      </c>
      <c r="O261" s="10" t="n"/>
    </row>
    <row r="262">
      <c r="A262" s="6" t="n"/>
      <c r="B262" s="10" t="n"/>
      <c r="C262" s="10" t="n"/>
      <c r="D262" s="10" t="n"/>
      <c r="E262" s="3" t="n"/>
      <c r="F262" s="4">
        <f>IF(E262="","",Goal!$B$4)</f>
        <v/>
      </c>
      <c r="G262" s="5">
        <f>IF(E262="","",E262*F262)</f>
        <v/>
      </c>
      <c r="H262" s="10" t="n"/>
      <c r="I262" s="6" t="n"/>
      <c r="J262" s="6" t="n"/>
      <c r="K262" s="5">
        <f>IF(E262="","",E262-G262-N(M262))</f>
        <v/>
      </c>
      <c r="L262" s="10" t="n"/>
      <c r="M262" s="3" t="n"/>
      <c r="N262" s="5">
        <f>IF(OR(E262="",H262="",H262=0),"",K262/H262)</f>
        <v/>
      </c>
      <c r="O262" s="10" t="n"/>
    </row>
    <row r="263">
      <c r="A263" s="6" t="n"/>
      <c r="B263" s="10" t="n"/>
      <c r="C263" s="10" t="n"/>
      <c r="D263" s="10" t="n"/>
      <c r="E263" s="3" t="n"/>
      <c r="F263" s="4">
        <f>IF(E263="","",Goal!$B$4)</f>
        <v/>
      </c>
      <c r="G263" s="5">
        <f>IF(E263="","",E263*F263)</f>
        <v/>
      </c>
      <c r="H263" s="10" t="n"/>
      <c r="I263" s="6" t="n"/>
      <c r="J263" s="6" t="n"/>
      <c r="K263" s="5">
        <f>IF(E263="","",E263-G263-N(M263))</f>
        <v/>
      </c>
      <c r="L263" s="10" t="n"/>
      <c r="M263" s="3" t="n"/>
      <c r="N263" s="5">
        <f>IF(OR(E263="",H263="",H263=0),"",K263/H263)</f>
        <v/>
      </c>
      <c r="O263" s="10" t="n"/>
    </row>
    <row r="264">
      <c r="A264" s="6" t="n"/>
      <c r="B264" s="10" t="n"/>
      <c r="C264" s="10" t="n"/>
      <c r="D264" s="10" t="n"/>
      <c r="E264" s="3" t="n"/>
      <c r="F264" s="4">
        <f>IF(E264="","",Goal!$B$4)</f>
        <v/>
      </c>
      <c r="G264" s="5">
        <f>IF(E264="","",E264*F264)</f>
        <v/>
      </c>
      <c r="H264" s="10" t="n"/>
      <c r="I264" s="6" t="n"/>
      <c r="J264" s="6" t="n"/>
      <c r="K264" s="5">
        <f>IF(E264="","",E264-G264-N(M264))</f>
        <v/>
      </c>
      <c r="L264" s="10" t="n"/>
      <c r="M264" s="3" t="n"/>
      <c r="N264" s="5">
        <f>IF(OR(E264="",H264="",H264=0),"",K264/H264)</f>
        <v/>
      </c>
      <c r="O264" s="10" t="n"/>
    </row>
    <row r="265">
      <c r="A265" s="6" t="n"/>
      <c r="B265" s="10" t="n"/>
      <c r="C265" s="10" t="n"/>
      <c r="D265" s="10" t="n"/>
      <c r="E265" s="3" t="n"/>
      <c r="F265" s="4">
        <f>IF(E265="","",Goal!$B$4)</f>
        <v/>
      </c>
      <c r="G265" s="5">
        <f>IF(E265="","",E265*F265)</f>
        <v/>
      </c>
      <c r="H265" s="10" t="n"/>
      <c r="I265" s="6" t="n"/>
      <c r="J265" s="6" t="n"/>
      <c r="K265" s="5">
        <f>IF(E265="","",E265-G265-N(M265))</f>
        <v/>
      </c>
      <c r="L265" s="10" t="n"/>
      <c r="M265" s="3" t="n"/>
      <c r="N265" s="5">
        <f>IF(OR(E265="",H265="",H265=0),"",K265/H265)</f>
        <v/>
      </c>
      <c r="O265" s="10" t="n"/>
    </row>
    <row r="266">
      <c r="A266" s="6" t="n"/>
      <c r="B266" s="10" t="n"/>
      <c r="C266" s="10" t="n"/>
      <c r="D266" s="10" t="n"/>
      <c r="E266" s="3" t="n"/>
      <c r="F266" s="4">
        <f>IF(E266="","",Goal!$B$4)</f>
        <v/>
      </c>
      <c r="G266" s="5">
        <f>IF(E266="","",E266*F266)</f>
        <v/>
      </c>
      <c r="H266" s="10" t="n"/>
      <c r="I266" s="6" t="n"/>
      <c r="J266" s="6" t="n"/>
      <c r="K266" s="5">
        <f>IF(E266="","",E266-G266-N(M266))</f>
        <v/>
      </c>
      <c r="L266" s="10" t="n"/>
      <c r="M266" s="3" t="n"/>
      <c r="N266" s="5">
        <f>IF(OR(E266="",H266="",H266=0),"",K266/H266)</f>
        <v/>
      </c>
      <c r="O266" s="10" t="n"/>
    </row>
    <row r="267">
      <c r="A267" s="6" t="n"/>
      <c r="B267" s="10" t="n"/>
      <c r="C267" s="10" t="n"/>
      <c r="D267" s="10" t="n"/>
      <c r="E267" s="3" t="n"/>
      <c r="F267" s="4">
        <f>IF(E267="","",Goal!$B$4)</f>
        <v/>
      </c>
      <c r="G267" s="5">
        <f>IF(E267="","",E267*F267)</f>
        <v/>
      </c>
      <c r="H267" s="10" t="n"/>
      <c r="I267" s="6" t="n"/>
      <c r="J267" s="6" t="n"/>
      <c r="K267" s="5">
        <f>IF(E267="","",E267-G267-N(M267))</f>
        <v/>
      </c>
      <c r="L267" s="10" t="n"/>
      <c r="M267" s="3" t="n"/>
      <c r="N267" s="5">
        <f>IF(OR(E267="",H267="",H267=0),"",K267/H267)</f>
        <v/>
      </c>
      <c r="O267" s="10" t="n"/>
    </row>
    <row r="268">
      <c r="A268" s="6" t="n"/>
      <c r="B268" s="10" t="n"/>
      <c r="C268" s="10" t="n"/>
      <c r="D268" s="10" t="n"/>
      <c r="E268" s="3" t="n"/>
      <c r="F268" s="4">
        <f>IF(E268="","",Goal!$B$4)</f>
        <v/>
      </c>
      <c r="G268" s="5">
        <f>IF(E268="","",E268*F268)</f>
        <v/>
      </c>
      <c r="H268" s="10" t="n"/>
      <c r="I268" s="6" t="n"/>
      <c r="J268" s="6" t="n"/>
      <c r="K268" s="5">
        <f>IF(E268="","",E268-G268-N(M268))</f>
        <v/>
      </c>
      <c r="L268" s="10" t="n"/>
      <c r="M268" s="3" t="n"/>
      <c r="N268" s="5">
        <f>IF(OR(E268="",H268="",H268=0),"",K268/H268)</f>
        <v/>
      </c>
      <c r="O268" s="10" t="n"/>
    </row>
    <row r="269">
      <c r="A269" s="6" t="n"/>
      <c r="B269" s="10" t="n"/>
      <c r="C269" s="10" t="n"/>
      <c r="D269" s="10" t="n"/>
      <c r="E269" s="3" t="n"/>
      <c r="F269" s="4">
        <f>IF(E269="","",Goal!$B$4)</f>
        <v/>
      </c>
      <c r="G269" s="5">
        <f>IF(E269="","",E269*F269)</f>
        <v/>
      </c>
      <c r="H269" s="10" t="n"/>
      <c r="I269" s="6" t="n"/>
      <c r="J269" s="6" t="n"/>
      <c r="K269" s="5">
        <f>IF(E269="","",E269-G269-N(M269))</f>
        <v/>
      </c>
      <c r="L269" s="10" t="n"/>
      <c r="M269" s="3" t="n"/>
      <c r="N269" s="5">
        <f>IF(OR(E269="",H269="",H269=0),"",K269/H269)</f>
        <v/>
      </c>
      <c r="O269" s="10" t="n"/>
    </row>
    <row r="270">
      <c r="A270" s="6" t="n"/>
      <c r="B270" s="10" t="n"/>
      <c r="C270" s="10" t="n"/>
      <c r="D270" s="10" t="n"/>
      <c r="E270" s="3" t="n"/>
      <c r="F270" s="4">
        <f>IF(E270="","",Goal!$B$4)</f>
        <v/>
      </c>
      <c r="G270" s="5">
        <f>IF(E270="","",E270*F270)</f>
        <v/>
      </c>
      <c r="H270" s="10" t="n"/>
      <c r="I270" s="6" t="n"/>
      <c r="J270" s="6" t="n"/>
      <c r="K270" s="5">
        <f>IF(E270="","",E270-G270-N(M270))</f>
        <v/>
      </c>
      <c r="L270" s="10" t="n"/>
      <c r="M270" s="3" t="n"/>
      <c r="N270" s="5">
        <f>IF(OR(E270="",H270="",H270=0),"",K270/H270)</f>
        <v/>
      </c>
      <c r="O270" s="10" t="n"/>
    </row>
    <row r="271">
      <c r="A271" s="6" t="n"/>
      <c r="B271" s="10" t="n"/>
      <c r="C271" s="10" t="n"/>
      <c r="D271" s="10" t="n"/>
      <c r="E271" s="3" t="n"/>
      <c r="F271" s="4">
        <f>IF(E271="","",Goal!$B$4)</f>
        <v/>
      </c>
      <c r="G271" s="5">
        <f>IF(E271="","",E271*F271)</f>
        <v/>
      </c>
      <c r="H271" s="10" t="n"/>
      <c r="I271" s="6" t="n"/>
      <c r="J271" s="6" t="n"/>
      <c r="K271" s="5">
        <f>IF(E271="","",E271-G271-N(M271))</f>
        <v/>
      </c>
      <c r="L271" s="10" t="n"/>
      <c r="M271" s="3" t="n"/>
      <c r="N271" s="5">
        <f>IF(OR(E271="",H271="",H271=0),"",K271/H271)</f>
        <v/>
      </c>
      <c r="O271" s="10" t="n"/>
    </row>
    <row r="272">
      <c r="A272" s="6" t="n"/>
      <c r="B272" s="10" t="n"/>
      <c r="C272" s="10" t="n"/>
      <c r="D272" s="10" t="n"/>
      <c r="E272" s="3" t="n"/>
      <c r="F272" s="4">
        <f>IF(E272="","",Goal!$B$4)</f>
        <v/>
      </c>
      <c r="G272" s="5">
        <f>IF(E272="","",E272*F272)</f>
        <v/>
      </c>
      <c r="H272" s="10" t="n"/>
      <c r="I272" s="6" t="n"/>
      <c r="J272" s="6" t="n"/>
      <c r="K272" s="5">
        <f>IF(E272="","",E272-G272-N(M272))</f>
        <v/>
      </c>
      <c r="L272" s="10" t="n"/>
      <c r="M272" s="3" t="n"/>
      <c r="N272" s="5">
        <f>IF(OR(E272="",H272="",H272=0),"",K272/H272)</f>
        <v/>
      </c>
      <c r="O272" s="10" t="n"/>
    </row>
    <row r="273">
      <c r="A273" s="6" t="n"/>
      <c r="B273" s="10" t="n"/>
      <c r="C273" s="10" t="n"/>
      <c r="D273" s="10" t="n"/>
      <c r="E273" s="3" t="n"/>
      <c r="F273" s="4">
        <f>IF(E273="","",Goal!$B$4)</f>
        <v/>
      </c>
      <c r="G273" s="5">
        <f>IF(E273="","",E273*F273)</f>
        <v/>
      </c>
      <c r="H273" s="10" t="n"/>
      <c r="I273" s="6" t="n"/>
      <c r="J273" s="6" t="n"/>
      <c r="K273" s="5">
        <f>IF(E273="","",E273-G273-N(M273))</f>
        <v/>
      </c>
      <c r="L273" s="10" t="n"/>
      <c r="M273" s="3" t="n"/>
      <c r="N273" s="5">
        <f>IF(OR(E273="",H273="",H273=0),"",K273/H273)</f>
        <v/>
      </c>
      <c r="O273" s="10" t="n"/>
    </row>
    <row r="274">
      <c r="A274" s="6" t="n"/>
      <c r="B274" s="10" t="n"/>
      <c r="C274" s="10" t="n"/>
      <c r="D274" s="10" t="n"/>
      <c r="E274" s="3" t="n"/>
      <c r="F274" s="4">
        <f>IF(E274="","",Goal!$B$4)</f>
        <v/>
      </c>
      <c r="G274" s="5">
        <f>IF(E274="","",E274*F274)</f>
        <v/>
      </c>
      <c r="H274" s="10" t="n"/>
      <c r="I274" s="6" t="n"/>
      <c r="J274" s="6" t="n"/>
      <c r="K274" s="5">
        <f>IF(E274="","",E274-G274-N(M274))</f>
        <v/>
      </c>
      <c r="L274" s="10" t="n"/>
      <c r="M274" s="3" t="n"/>
      <c r="N274" s="5">
        <f>IF(OR(E274="",H274="",H274=0),"",K274/H274)</f>
        <v/>
      </c>
      <c r="O274" s="10" t="n"/>
    </row>
    <row r="275">
      <c r="A275" s="6" t="n"/>
      <c r="B275" s="10" t="n"/>
      <c r="C275" s="10" t="n"/>
      <c r="D275" s="10" t="n"/>
      <c r="E275" s="3" t="n"/>
      <c r="F275" s="4">
        <f>IF(E275="","",Goal!$B$4)</f>
        <v/>
      </c>
      <c r="G275" s="5">
        <f>IF(E275="","",E275*F275)</f>
        <v/>
      </c>
      <c r="H275" s="10" t="n"/>
      <c r="I275" s="6" t="n"/>
      <c r="J275" s="6" t="n"/>
      <c r="K275" s="5">
        <f>IF(E275="","",E275-G275-N(M275))</f>
        <v/>
      </c>
      <c r="L275" s="10" t="n"/>
      <c r="M275" s="3" t="n"/>
      <c r="N275" s="5">
        <f>IF(OR(E275="",H275="",H275=0),"",K275/H275)</f>
        <v/>
      </c>
      <c r="O275" s="10" t="n"/>
    </row>
    <row r="276">
      <c r="A276" s="6" t="n"/>
      <c r="B276" s="10" t="n"/>
      <c r="C276" s="10" t="n"/>
      <c r="D276" s="10" t="n"/>
      <c r="E276" s="3" t="n"/>
      <c r="F276" s="4">
        <f>IF(E276="","",Goal!$B$4)</f>
        <v/>
      </c>
      <c r="G276" s="5">
        <f>IF(E276="","",E276*F276)</f>
        <v/>
      </c>
      <c r="H276" s="10" t="n"/>
      <c r="I276" s="6" t="n"/>
      <c r="J276" s="6" t="n"/>
      <c r="K276" s="5">
        <f>IF(E276="","",E276-G276-N(M276))</f>
        <v/>
      </c>
      <c r="L276" s="10" t="n"/>
      <c r="M276" s="3" t="n"/>
      <c r="N276" s="5">
        <f>IF(OR(E276="",H276="",H276=0),"",K276/H276)</f>
        <v/>
      </c>
      <c r="O276" s="10" t="n"/>
    </row>
    <row r="277">
      <c r="A277" s="6" t="n"/>
      <c r="B277" s="10" t="n"/>
      <c r="C277" s="10" t="n"/>
      <c r="D277" s="10" t="n"/>
      <c r="E277" s="3" t="n"/>
      <c r="F277" s="4">
        <f>IF(E277="","",Goal!$B$4)</f>
        <v/>
      </c>
      <c r="G277" s="5">
        <f>IF(E277="","",E277*F277)</f>
        <v/>
      </c>
      <c r="H277" s="10" t="n"/>
      <c r="I277" s="6" t="n"/>
      <c r="J277" s="6" t="n"/>
      <c r="K277" s="5">
        <f>IF(E277="","",E277-G277-N(M277))</f>
        <v/>
      </c>
      <c r="L277" s="10" t="n"/>
      <c r="M277" s="3" t="n"/>
      <c r="N277" s="5">
        <f>IF(OR(E277="",H277="",H277=0),"",K277/H277)</f>
        <v/>
      </c>
      <c r="O277" s="10" t="n"/>
    </row>
    <row r="278">
      <c r="A278" s="6" t="n"/>
      <c r="B278" s="10" t="n"/>
      <c r="C278" s="10" t="n"/>
      <c r="D278" s="10" t="n"/>
      <c r="E278" s="3" t="n"/>
      <c r="F278" s="4">
        <f>IF(E278="","",Goal!$B$4)</f>
        <v/>
      </c>
      <c r="G278" s="5">
        <f>IF(E278="","",E278*F278)</f>
        <v/>
      </c>
      <c r="H278" s="10" t="n"/>
      <c r="I278" s="6" t="n"/>
      <c r="J278" s="6" t="n"/>
      <c r="K278" s="5">
        <f>IF(E278="","",E278-G278-N(M278))</f>
        <v/>
      </c>
      <c r="L278" s="10" t="n"/>
      <c r="M278" s="3" t="n"/>
      <c r="N278" s="5">
        <f>IF(OR(E278="",H278="",H278=0),"",K278/H278)</f>
        <v/>
      </c>
      <c r="O278" s="10" t="n"/>
    </row>
    <row r="279">
      <c r="A279" s="6" t="n"/>
      <c r="B279" s="10" t="n"/>
      <c r="C279" s="10" t="n"/>
      <c r="D279" s="10" t="n"/>
      <c r="E279" s="3" t="n"/>
      <c r="F279" s="4">
        <f>IF(E279="","",Goal!$B$4)</f>
        <v/>
      </c>
      <c r="G279" s="5">
        <f>IF(E279="","",E279*F279)</f>
        <v/>
      </c>
      <c r="H279" s="10" t="n"/>
      <c r="I279" s="6" t="n"/>
      <c r="J279" s="6" t="n"/>
      <c r="K279" s="5">
        <f>IF(E279="","",E279-G279-N(M279))</f>
        <v/>
      </c>
      <c r="L279" s="10" t="n"/>
      <c r="M279" s="3" t="n"/>
      <c r="N279" s="5">
        <f>IF(OR(E279="",H279="",H279=0),"",K279/H279)</f>
        <v/>
      </c>
      <c r="O279" s="10" t="n"/>
    </row>
    <row r="280">
      <c r="A280" s="6" t="n"/>
      <c r="B280" s="10" t="n"/>
      <c r="C280" s="10" t="n"/>
      <c r="D280" s="10" t="n"/>
      <c r="E280" s="3" t="n"/>
      <c r="F280" s="4">
        <f>IF(E280="","",Goal!$B$4)</f>
        <v/>
      </c>
      <c r="G280" s="5">
        <f>IF(E280="","",E280*F280)</f>
        <v/>
      </c>
      <c r="H280" s="10" t="n"/>
      <c r="I280" s="6" t="n"/>
      <c r="J280" s="6" t="n"/>
      <c r="K280" s="5">
        <f>IF(E280="","",E280-G280-N(M280))</f>
        <v/>
      </c>
      <c r="L280" s="10" t="n"/>
      <c r="M280" s="3" t="n"/>
      <c r="N280" s="5">
        <f>IF(OR(E280="",H280="",H280=0),"",K280/H280)</f>
        <v/>
      </c>
      <c r="O280" s="10" t="n"/>
    </row>
    <row r="281">
      <c r="A281" s="6" t="n"/>
      <c r="B281" s="10" t="n"/>
      <c r="C281" s="10" t="n"/>
      <c r="D281" s="10" t="n"/>
      <c r="E281" s="3" t="n"/>
      <c r="F281" s="4">
        <f>IF(E281="","",Goal!$B$4)</f>
        <v/>
      </c>
      <c r="G281" s="5">
        <f>IF(E281="","",E281*F281)</f>
        <v/>
      </c>
      <c r="H281" s="10" t="n"/>
      <c r="I281" s="6" t="n"/>
      <c r="J281" s="6" t="n"/>
      <c r="K281" s="5">
        <f>IF(E281="","",E281-G281-N(M281))</f>
        <v/>
      </c>
      <c r="L281" s="10" t="n"/>
      <c r="M281" s="3" t="n"/>
      <c r="N281" s="5">
        <f>IF(OR(E281="",H281="",H281=0),"",K281/H281)</f>
        <v/>
      </c>
      <c r="O281" s="10" t="n"/>
    </row>
    <row r="282">
      <c r="A282" s="6" t="n"/>
      <c r="B282" s="10" t="n"/>
      <c r="C282" s="10" t="n"/>
      <c r="D282" s="10" t="n"/>
      <c r="E282" s="3" t="n"/>
      <c r="F282" s="4">
        <f>IF(E282="","",Goal!$B$4)</f>
        <v/>
      </c>
      <c r="G282" s="5">
        <f>IF(E282="","",E282*F282)</f>
        <v/>
      </c>
      <c r="H282" s="10" t="n"/>
      <c r="I282" s="6" t="n"/>
      <c r="J282" s="6" t="n"/>
      <c r="K282" s="5">
        <f>IF(E282="","",E282-G282-N(M282))</f>
        <v/>
      </c>
      <c r="L282" s="10" t="n"/>
      <c r="M282" s="3" t="n"/>
      <c r="N282" s="5">
        <f>IF(OR(E282="",H282="",H282=0),"",K282/H282)</f>
        <v/>
      </c>
      <c r="O282" s="10" t="n"/>
    </row>
    <row r="283">
      <c r="A283" s="6" t="n"/>
      <c r="B283" s="10" t="n"/>
      <c r="C283" s="10" t="n"/>
      <c r="D283" s="10" t="n"/>
      <c r="E283" s="3" t="n"/>
      <c r="F283" s="4">
        <f>IF(E283="","",Goal!$B$4)</f>
        <v/>
      </c>
      <c r="G283" s="5">
        <f>IF(E283="","",E283*F283)</f>
        <v/>
      </c>
      <c r="H283" s="10" t="n"/>
      <c r="I283" s="6" t="n"/>
      <c r="J283" s="6" t="n"/>
      <c r="K283" s="5">
        <f>IF(E283="","",E283-G283-N(M283))</f>
        <v/>
      </c>
      <c r="L283" s="10" t="n"/>
      <c r="M283" s="3" t="n"/>
      <c r="N283" s="5">
        <f>IF(OR(E283="",H283="",H283=0),"",K283/H283)</f>
        <v/>
      </c>
      <c r="O283" s="10" t="n"/>
    </row>
    <row r="284">
      <c r="A284" s="6" t="n"/>
      <c r="B284" s="10" t="n"/>
      <c r="C284" s="10" t="n"/>
      <c r="D284" s="10" t="n"/>
      <c r="E284" s="3" t="n"/>
      <c r="F284" s="4">
        <f>IF(E284="","",Goal!$B$4)</f>
        <v/>
      </c>
      <c r="G284" s="5">
        <f>IF(E284="","",E284*F284)</f>
        <v/>
      </c>
      <c r="H284" s="10" t="n"/>
      <c r="I284" s="6" t="n"/>
      <c r="J284" s="6" t="n"/>
      <c r="K284" s="5">
        <f>IF(E284="","",E284-G284-N(M284))</f>
        <v/>
      </c>
      <c r="L284" s="10" t="n"/>
      <c r="M284" s="3" t="n"/>
      <c r="N284" s="5">
        <f>IF(OR(E284="",H284="",H284=0),"",K284/H284)</f>
        <v/>
      </c>
      <c r="O284" s="10" t="n"/>
    </row>
    <row r="285">
      <c r="A285" s="6" t="n"/>
      <c r="B285" s="10" t="n"/>
      <c r="C285" s="10" t="n"/>
      <c r="D285" s="10" t="n"/>
      <c r="E285" s="3" t="n"/>
      <c r="F285" s="4">
        <f>IF(E285="","",Goal!$B$4)</f>
        <v/>
      </c>
      <c r="G285" s="5">
        <f>IF(E285="","",E285*F285)</f>
        <v/>
      </c>
      <c r="H285" s="10" t="n"/>
      <c r="I285" s="6" t="n"/>
      <c r="J285" s="6" t="n"/>
      <c r="K285" s="5">
        <f>IF(E285="","",E285-G285-N(M285))</f>
        <v/>
      </c>
      <c r="L285" s="10" t="n"/>
      <c r="M285" s="3" t="n"/>
      <c r="N285" s="5">
        <f>IF(OR(E285="",H285="",H285=0),"",K285/H285)</f>
        <v/>
      </c>
      <c r="O285" s="10" t="n"/>
    </row>
    <row r="286">
      <c r="A286" s="6" t="n"/>
      <c r="B286" s="10" t="n"/>
      <c r="C286" s="10" t="n"/>
      <c r="D286" s="10" t="n"/>
      <c r="E286" s="3" t="n"/>
      <c r="F286" s="4">
        <f>IF(E286="","",Goal!$B$4)</f>
        <v/>
      </c>
      <c r="G286" s="5">
        <f>IF(E286="","",E286*F286)</f>
        <v/>
      </c>
      <c r="H286" s="10" t="n"/>
      <c r="I286" s="6" t="n"/>
      <c r="J286" s="6" t="n"/>
      <c r="K286" s="5">
        <f>IF(E286="","",E286-G286-N(M286))</f>
        <v/>
      </c>
      <c r="L286" s="10" t="n"/>
      <c r="M286" s="3" t="n"/>
      <c r="N286" s="5">
        <f>IF(OR(E286="",H286="",H286=0),"",K286/H286)</f>
        <v/>
      </c>
      <c r="O286" s="10" t="n"/>
    </row>
    <row r="287">
      <c r="A287" s="6" t="n"/>
      <c r="B287" s="10" t="n"/>
      <c r="C287" s="10" t="n"/>
      <c r="D287" s="10" t="n"/>
      <c r="E287" s="3" t="n"/>
      <c r="F287" s="4">
        <f>IF(E287="","",Goal!$B$4)</f>
        <v/>
      </c>
      <c r="G287" s="5">
        <f>IF(E287="","",E287*F287)</f>
        <v/>
      </c>
      <c r="H287" s="10" t="n"/>
      <c r="I287" s="6" t="n"/>
      <c r="J287" s="6" t="n"/>
      <c r="K287" s="5">
        <f>IF(E287="","",E287-G287-N(M287))</f>
        <v/>
      </c>
      <c r="L287" s="10" t="n"/>
      <c r="M287" s="3" t="n"/>
      <c r="N287" s="5">
        <f>IF(OR(E287="",H287="",H287=0),"",K287/H287)</f>
        <v/>
      </c>
      <c r="O287" s="10" t="n"/>
    </row>
    <row r="288">
      <c r="A288" s="6" t="n"/>
      <c r="B288" s="10" t="n"/>
      <c r="C288" s="10" t="n"/>
      <c r="D288" s="10" t="n"/>
      <c r="E288" s="3" t="n"/>
      <c r="F288" s="4">
        <f>IF(E288="","",Goal!$B$4)</f>
        <v/>
      </c>
      <c r="G288" s="5">
        <f>IF(E288="","",E288*F288)</f>
        <v/>
      </c>
      <c r="H288" s="10" t="n"/>
      <c r="I288" s="6" t="n"/>
      <c r="J288" s="6" t="n"/>
      <c r="K288" s="5">
        <f>IF(E288="","",E288-G288-N(M288))</f>
        <v/>
      </c>
      <c r="L288" s="10" t="n"/>
      <c r="M288" s="3" t="n"/>
      <c r="N288" s="5">
        <f>IF(OR(E288="",H288="",H288=0),"",K288/H288)</f>
        <v/>
      </c>
      <c r="O288" s="10" t="n"/>
    </row>
    <row r="289">
      <c r="A289" s="6" t="n"/>
      <c r="B289" s="10" t="n"/>
      <c r="C289" s="10" t="n"/>
      <c r="D289" s="10" t="n"/>
      <c r="E289" s="3" t="n"/>
      <c r="F289" s="4">
        <f>IF(E289="","",Goal!$B$4)</f>
        <v/>
      </c>
      <c r="G289" s="5">
        <f>IF(E289="","",E289*F289)</f>
        <v/>
      </c>
      <c r="H289" s="10" t="n"/>
      <c r="I289" s="6" t="n"/>
      <c r="J289" s="6" t="n"/>
      <c r="K289" s="5">
        <f>IF(E289="","",E289-G289-N(M289))</f>
        <v/>
      </c>
      <c r="L289" s="10" t="n"/>
      <c r="M289" s="3" t="n"/>
      <c r="N289" s="5">
        <f>IF(OR(E289="",H289="",H289=0),"",K289/H289)</f>
        <v/>
      </c>
      <c r="O289" s="10" t="n"/>
    </row>
    <row r="290">
      <c r="A290" s="6" t="n"/>
      <c r="B290" s="10" t="n"/>
      <c r="C290" s="10" t="n"/>
      <c r="D290" s="10" t="n"/>
      <c r="E290" s="3" t="n"/>
      <c r="F290" s="4">
        <f>IF(E290="","",Goal!$B$4)</f>
        <v/>
      </c>
      <c r="G290" s="5">
        <f>IF(E290="","",E290*F290)</f>
        <v/>
      </c>
      <c r="H290" s="10" t="n"/>
      <c r="I290" s="6" t="n"/>
      <c r="J290" s="6" t="n"/>
      <c r="K290" s="5">
        <f>IF(E290="","",E290-G290-N(M290))</f>
        <v/>
      </c>
      <c r="L290" s="10" t="n"/>
      <c r="M290" s="3" t="n"/>
      <c r="N290" s="5">
        <f>IF(OR(E290="",H290="",H290=0),"",K290/H290)</f>
        <v/>
      </c>
      <c r="O290" s="10" t="n"/>
    </row>
    <row r="291">
      <c r="A291" s="6" t="n"/>
      <c r="B291" s="10" t="n"/>
      <c r="C291" s="10" t="n"/>
      <c r="D291" s="10" t="n"/>
      <c r="E291" s="3" t="n"/>
      <c r="F291" s="4">
        <f>IF(E291="","",Goal!$B$4)</f>
        <v/>
      </c>
      <c r="G291" s="5">
        <f>IF(E291="","",E291*F291)</f>
        <v/>
      </c>
      <c r="H291" s="10" t="n"/>
      <c r="I291" s="6" t="n"/>
      <c r="J291" s="6" t="n"/>
      <c r="K291" s="5">
        <f>IF(E291="","",E291-G291-N(M291))</f>
        <v/>
      </c>
      <c r="L291" s="10" t="n"/>
      <c r="M291" s="3" t="n"/>
      <c r="N291" s="5">
        <f>IF(OR(E291="",H291="",H291=0),"",K291/H291)</f>
        <v/>
      </c>
      <c r="O291" s="10" t="n"/>
    </row>
    <row r="292">
      <c r="A292" s="6" t="n"/>
      <c r="B292" s="10" t="n"/>
      <c r="C292" s="10" t="n"/>
      <c r="D292" s="10" t="n"/>
      <c r="E292" s="3" t="n"/>
      <c r="F292" s="4">
        <f>IF(E292="","",Goal!$B$4)</f>
        <v/>
      </c>
      <c r="G292" s="5">
        <f>IF(E292="","",E292*F292)</f>
        <v/>
      </c>
      <c r="H292" s="10" t="n"/>
      <c r="I292" s="6" t="n"/>
      <c r="J292" s="6" t="n"/>
      <c r="K292" s="5">
        <f>IF(E292="","",E292-G292-N(M292))</f>
        <v/>
      </c>
      <c r="L292" s="10" t="n"/>
      <c r="M292" s="3" t="n"/>
      <c r="N292" s="5">
        <f>IF(OR(E292="",H292="",H292=0),"",K292/H292)</f>
        <v/>
      </c>
      <c r="O292" s="10" t="n"/>
    </row>
    <row r="293">
      <c r="A293" s="6" t="n"/>
      <c r="B293" s="10" t="n"/>
      <c r="C293" s="10" t="n"/>
      <c r="D293" s="10" t="n"/>
      <c r="E293" s="3" t="n"/>
      <c r="F293" s="4">
        <f>IF(E293="","",Goal!$B$4)</f>
        <v/>
      </c>
      <c r="G293" s="5">
        <f>IF(E293="","",E293*F293)</f>
        <v/>
      </c>
      <c r="H293" s="10" t="n"/>
      <c r="I293" s="6" t="n"/>
      <c r="J293" s="6" t="n"/>
      <c r="K293" s="5">
        <f>IF(E293="","",E293-G293-N(M293))</f>
        <v/>
      </c>
      <c r="L293" s="10" t="n"/>
      <c r="M293" s="3" t="n"/>
      <c r="N293" s="5">
        <f>IF(OR(E293="",H293="",H293=0),"",K293/H293)</f>
        <v/>
      </c>
      <c r="O293" s="10" t="n"/>
    </row>
    <row r="294">
      <c r="A294" s="6" t="n"/>
      <c r="B294" s="10" t="n"/>
      <c r="C294" s="10" t="n"/>
      <c r="D294" s="10" t="n"/>
      <c r="E294" s="3" t="n"/>
      <c r="F294" s="4">
        <f>IF(E294="","",Goal!$B$4)</f>
        <v/>
      </c>
      <c r="G294" s="5">
        <f>IF(E294="","",E294*F294)</f>
        <v/>
      </c>
      <c r="H294" s="10" t="n"/>
      <c r="I294" s="6" t="n"/>
      <c r="J294" s="6" t="n"/>
      <c r="K294" s="5">
        <f>IF(E294="","",E294-G294-N(M294))</f>
        <v/>
      </c>
      <c r="L294" s="10" t="n"/>
      <c r="M294" s="3" t="n"/>
      <c r="N294" s="5">
        <f>IF(OR(E294="",H294="",H294=0),"",K294/H294)</f>
        <v/>
      </c>
      <c r="O294" s="10" t="n"/>
    </row>
    <row r="295">
      <c r="A295" s="6" t="n"/>
      <c r="B295" s="10" t="n"/>
      <c r="C295" s="10" t="n"/>
      <c r="D295" s="10" t="n"/>
      <c r="E295" s="3" t="n"/>
      <c r="F295" s="4">
        <f>IF(E295="","",Goal!$B$4)</f>
        <v/>
      </c>
      <c r="G295" s="5">
        <f>IF(E295="","",E295*F295)</f>
        <v/>
      </c>
      <c r="H295" s="10" t="n"/>
      <c r="I295" s="6" t="n"/>
      <c r="J295" s="6" t="n"/>
      <c r="K295" s="5">
        <f>IF(E295="","",E295-G295-N(M295))</f>
        <v/>
      </c>
      <c r="L295" s="10" t="n"/>
      <c r="M295" s="3" t="n"/>
      <c r="N295" s="5">
        <f>IF(OR(E295="",H295="",H295=0),"",K295/H295)</f>
        <v/>
      </c>
      <c r="O295" s="10" t="n"/>
    </row>
    <row r="296">
      <c r="A296" s="6" t="n"/>
      <c r="B296" s="10" t="n"/>
      <c r="C296" s="10" t="n"/>
      <c r="D296" s="10" t="n"/>
      <c r="E296" s="3" t="n"/>
      <c r="F296" s="4">
        <f>IF(E296="","",Goal!$B$4)</f>
        <v/>
      </c>
      <c r="G296" s="5">
        <f>IF(E296="","",E296*F296)</f>
        <v/>
      </c>
      <c r="H296" s="10" t="n"/>
      <c r="I296" s="6" t="n"/>
      <c r="J296" s="6" t="n"/>
      <c r="K296" s="5">
        <f>IF(E296="","",E296-G296-N(M296))</f>
        <v/>
      </c>
      <c r="L296" s="10" t="n"/>
      <c r="M296" s="3" t="n"/>
      <c r="N296" s="5">
        <f>IF(OR(E296="",H296="",H296=0),"",K296/H296)</f>
        <v/>
      </c>
      <c r="O296" s="10" t="n"/>
    </row>
    <row r="297">
      <c r="A297" s="6" t="n"/>
      <c r="B297" s="10" t="n"/>
      <c r="C297" s="10" t="n"/>
      <c r="D297" s="10" t="n"/>
      <c r="E297" s="3" t="n"/>
      <c r="F297" s="4">
        <f>IF(E297="","",Goal!$B$4)</f>
        <v/>
      </c>
      <c r="G297" s="5">
        <f>IF(E297="","",E297*F297)</f>
        <v/>
      </c>
      <c r="H297" s="10" t="n"/>
      <c r="I297" s="6" t="n"/>
      <c r="J297" s="6" t="n"/>
      <c r="K297" s="5">
        <f>IF(E297="","",E297-G297-N(M297))</f>
        <v/>
      </c>
      <c r="L297" s="10" t="n"/>
      <c r="M297" s="3" t="n"/>
      <c r="N297" s="5">
        <f>IF(OR(E297="",H297="",H297=0),"",K297/H297)</f>
        <v/>
      </c>
      <c r="O297" s="10" t="n"/>
    </row>
    <row r="298">
      <c r="A298" s="6" t="n"/>
      <c r="B298" s="10" t="n"/>
      <c r="C298" s="10" t="n"/>
      <c r="D298" s="10" t="n"/>
      <c r="E298" s="3" t="n"/>
      <c r="F298" s="4">
        <f>IF(E298="","",Goal!$B$4)</f>
        <v/>
      </c>
      <c r="G298" s="5">
        <f>IF(E298="","",E298*F298)</f>
        <v/>
      </c>
      <c r="H298" s="10" t="n"/>
      <c r="I298" s="6" t="n"/>
      <c r="J298" s="6" t="n"/>
      <c r="K298" s="5">
        <f>IF(E298="","",E298-G298-N(M298))</f>
        <v/>
      </c>
      <c r="L298" s="10" t="n"/>
      <c r="M298" s="3" t="n"/>
      <c r="N298" s="5">
        <f>IF(OR(E298="",H298="",H298=0),"",K298/H298)</f>
        <v/>
      </c>
      <c r="O298" s="10" t="n"/>
    </row>
    <row r="299">
      <c r="A299" s="6" t="n"/>
      <c r="B299" s="10" t="n"/>
      <c r="C299" s="10" t="n"/>
      <c r="D299" s="10" t="n"/>
      <c r="E299" s="3" t="n"/>
      <c r="F299" s="4">
        <f>IF(E299="","",Goal!$B$4)</f>
        <v/>
      </c>
      <c r="G299" s="5">
        <f>IF(E299="","",E299*F299)</f>
        <v/>
      </c>
      <c r="H299" s="10" t="n"/>
      <c r="I299" s="6" t="n"/>
      <c r="J299" s="6" t="n"/>
      <c r="K299" s="5">
        <f>IF(E299="","",E299-G299-N(M299))</f>
        <v/>
      </c>
      <c r="L299" s="10" t="n"/>
      <c r="M299" s="3" t="n"/>
      <c r="N299" s="5">
        <f>IF(OR(E299="",H299="",H299=0),"",K299/H299)</f>
        <v/>
      </c>
      <c r="O299" s="10" t="n"/>
    </row>
    <row r="300">
      <c r="A300" s="6" t="n"/>
      <c r="B300" s="10" t="n"/>
      <c r="C300" s="10" t="n"/>
      <c r="D300" s="10" t="n"/>
      <c r="E300" s="3" t="n"/>
      <c r="F300" s="4">
        <f>IF(E300="","",Goal!$B$4)</f>
        <v/>
      </c>
      <c r="G300" s="5">
        <f>IF(E300="","",E300*F300)</f>
        <v/>
      </c>
      <c r="H300" s="10" t="n"/>
      <c r="I300" s="6" t="n"/>
      <c r="J300" s="6" t="n"/>
      <c r="K300" s="5">
        <f>IF(E300="","",E300-G300-N(M300))</f>
        <v/>
      </c>
      <c r="L300" s="10" t="n"/>
      <c r="M300" s="3" t="n"/>
      <c r="N300" s="5">
        <f>IF(OR(E300="",H300="",H300=0),"",K300/H300)</f>
        <v/>
      </c>
      <c r="O300" s="10" t="n"/>
    </row>
    <row r="301">
      <c r="A301" s="6" t="n"/>
      <c r="B301" s="10" t="n"/>
      <c r="C301" s="10" t="n"/>
      <c r="D301" s="10" t="n"/>
      <c r="E301" s="3" t="n"/>
      <c r="F301" s="4">
        <f>IF(E301="","",Goal!$B$4)</f>
        <v/>
      </c>
      <c r="G301" s="5">
        <f>IF(E301="","",E301*F301)</f>
        <v/>
      </c>
      <c r="H301" s="10" t="n"/>
      <c r="I301" s="6" t="n"/>
      <c r="J301" s="6" t="n"/>
      <c r="K301" s="5">
        <f>IF(E301="","",E301-G301-N(M301))</f>
        <v/>
      </c>
      <c r="L301" s="10" t="n"/>
      <c r="M301" s="3" t="n"/>
      <c r="N301" s="5">
        <f>IF(OR(E301="",H301="",H301=0),"",K301/H301)</f>
        <v/>
      </c>
      <c r="O301" s="10" t="n"/>
    </row>
  </sheetData>
  <dataValidations count="3">
    <dataValidation sqref="B2:B301" showDropDown="0" showInputMessage="0" showErrorMessage="0" allowBlank="1" type="list">
      <formula1>=Lists!$A$2:$A$20</formula1>
    </dataValidation>
    <dataValidation sqref="C2:C301" showDropDown="0" showInputMessage="0" showErrorMessage="0" allowBlank="1" type="list">
      <formula1>"Fiverr,Etsy,Gumroad,Direct,Other"</formula1>
    </dataValidation>
    <dataValidation sqref="L2:L30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9" customWidth="1" min="4" max="4"/>
    <col width="10" customWidth="1" min="5" max="5"/>
    <col width="8" customWidth="1" min="6" max="6"/>
    <col width="11" customWidth="1" min="7" max="7"/>
    <col width="12" customWidth="1" min="8" max="8"/>
    <col width="11" customWidth="1" min="9" max="9"/>
    <col width="40" customWidth="1" min="10" max="10"/>
  </cols>
  <sheetData>
    <row r="1" ht="42" customHeight="1">
      <c r="A1" s="9" t="inlineStr">
        <is>
          <t>Date</t>
        </is>
      </c>
      <c r="B1" s="9" t="inlineStr">
        <is>
          <t>Offer</t>
        </is>
      </c>
      <c r="C1" s="9" t="inlineStr">
        <is>
          <t>Impressions</t>
        </is>
      </c>
      <c r="D1" s="9" t="inlineStr">
        <is>
          <t>Clicks</t>
        </is>
      </c>
      <c r="E1" s="9" t="inlineStr">
        <is>
          <t>Inquiries</t>
        </is>
      </c>
      <c r="F1" s="9" t="inlineStr">
        <is>
          <t>Orders</t>
        </is>
      </c>
      <c r="G1" s="9" t="inlineStr">
        <is>
          <t>Click rate</t>
        </is>
      </c>
      <c r="H1" s="9" t="inlineStr">
        <is>
          <t>Inquiry rate</t>
        </is>
      </c>
      <c r="I1" s="9" t="inlineStr">
        <is>
          <t>Order rate</t>
        </is>
      </c>
      <c r="J1" s="9" t="inlineStr">
        <is>
          <t>Notes / change made</t>
        </is>
      </c>
    </row>
    <row r="2">
      <c r="A2" s="11" t="n">
        <v>46305</v>
      </c>
      <c r="B2" s="2" t="inlineStr">
        <is>
          <t>Fiverr: n8n/Make/Zapier fix</t>
        </is>
      </c>
      <c r="C2" s="10" t="n"/>
      <c r="D2" s="10" t="n"/>
      <c r="E2" s="10" t="n"/>
      <c r="F2" s="10" t="n"/>
      <c r="G2" s="12">
        <f>IF(N(C2)=0,"",D2/C2)</f>
        <v/>
      </c>
      <c r="H2" s="12">
        <f>IF(N(D2)=0,"",E2/D2)</f>
        <v/>
      </c>
      <c r="I2" s="12">
        <f>IF(N(E2)=0,"",F2/E2)</f>
        <v/>
      </c>
      <c r="J2" s="10" t="n"/>
    </row>
    <row r="3">
      <c r="A3" s="11" t="n">
        <v>46305</v>
      </c>
      <c r="B3" s="2" t="inlineStr">
        <is>
          <t>Fiverr: Claude Code debugging</t>
        </is>
      </c>
      <c r="C3" s="10" t="n"/>
      <c r="D3" s="10" t="n"/>
      <c r="E3" s="10" t="n"/>
      <c r="F3" s="10" t="n"/>
      <c r="G3" s="12">
        <f>IF(N(C3)=0,"",D3/C3)</f>
        <v/>
      </c>
      <c r="H3" s="12">
        <f>IF(N(D3)=0,"",E3/D3)</f>
        <v/>
      </c>
      <c r="I3" s="12">
        <f>IF(N(E3)=0,"",F3/E3)</f>
        <v/>
      </c>
      <c r="J3" s="10" t="n"/>
    </row>
    <row r="4">
      <c r="A4" s="11" t="n">
        <v>46305</v>
      </c>
      <c r="B4" s="2" t="inlineStr">
        <is>
          <t>Fiverr: Stripe fix</t>
        </is>
      </c>
      <c r="C4" s="10" t="n"/>
      <c r="D4" s="10" t="n"/>
      <c r="E4" s="10" t="n"/>
      <c r="F4" s="10" t="n"/>
      <c r="G4" s="12">
        <f>IF(N(C4)=0,"",D4/C4)</f>
        <v/>
      </c>
      <c r="H4" s="12">
        <f>IF(N(D4)=0,"",E4/D4)</f>
        <v/>
      </c>
      <c r="I4" s="12">
        <f>IF(N(E4)=0,"",F4/E4)</f>
        <v/>
      </c>
      <c r="J4" s="10" t="n"/>
    </row>
    <row r="5">
      <c r="A5" s="11" t="n">
        <v>46305</v>
      </c>
      <c r="B5" s="2" t="inlineStr">
        <is>
          <t>Fiverr: Excel/CSV cleaning</t>
        </is>
      </c>
      <c r="C5" s="10" t="n"/>
      <c r="D5" s="10" t="n"/>
      <c r="E5" s="10" t="n"/>
      <c r="F5" s="10" t="n"/>
      <c r="G5" s="12">
        <f>IF(N(C5)=0,"",D5/C5)</f>
        <v/>
      </c>
      <c r="H5" s="12">
        <f>IF(N(D5)=0,"",E5/D5)</f>
        <v/>
      </c>
      <c r="I5" s="12">
        <f>IF(N(E5)=0,"",F5/E5)</f>
        <v/>
      </c>
      <c r="J5" s="10" t="n"/>
    </row>
    <row r="6">
      <c r="A6" s="11" t="n">
        <v>46305</v>
      </c>
      <c r="B6" s="2" t="inlineStr">
        <is>
          <t>Cleaning Quote Calculator</t>
        </is>
      </c>
      <c r="C6" s="10" t="n"/>
      <c r="D6" s="10" t="n"/>
      <c r="E6" s="10" t="n"/>
      <c r="F6" s="10" t="n"/>
      <c r="G6" s="12">
        <f>IF(N(C6)=0,"",D6/C6)</f>
        <v/>
      </c>
      <c r="H6" s="12">
        <f>IF(N(D6)=0,"",E6/D6)</f>
        <v/>
      </c>
      <c r="I6" s="12">
        <f>IF(N(E6)=0,"",F6/E6)</f>
        <v/>
      </c>
      <c r="J6" s="10" t="n"/>
    </row>
    <row r="7">
      <c r="A7" s="11" t="n">
        <v>46305</v>
      </c>
      <c r="B7" s="2" t="inlineStr">
        <is>
          <t>n8n pack: Agency Onboarding</t>
        </is>
      </c>
      <c r="C7" s="10" t="n"/>
      <c r="D7" s="10" t="n"/>
      <c r="E7" s="10" t="n"/>
      <c r="F7" s="10" t="n"/>
      <c r="G7" s="12">
        <f>IF(N(C7)=0,"",D7/C7)</f>
        <v/>
      </c>
      <c r="H7" s="12">
        <f>IF(N(D7)=0,"",E7/D7)</f>
        <v/>
      </c>
      <c r="I7" s="12">
        <f>IF(N(E7)=0,"",F7/E7)</f>
        <v/>
      </c>
      <c r="J7" s="10" t="n"/>
    </row>
    <row r="8">
      <c r="A8" s="11" t="n">
        <v>46305</v>
      </c>
      <c r="B8" s="2" t="inlineStr">
        <is>
          <t>n8n pack: Cleaning Lead-to-Booking</t>
        </is>
      </c>
      <c r="C8" s="10" t="n"/>
      <c r="D8" s="10" t="n"/>
      <c r="E8" s="10" t="n"/>
      <c r="F8" s="10" t="n"/>
      <c r="G8" s="12">
        <f>IF(N(C8)=0,"",D8/C8)</f>
        <v/>
      </c>
      <c r="H8" s="12">
        <f>IF(N(D8)=0,"",E8/D8)</f>
        <v/>
      </c>
      <c r="I8" s="12">
        <f>IF(N(E8)=0,"",F8/E8)</f>
        <v/>
      </c>
      <c r="J8" s="10" t="n"/>
    </row>
    <row r="9">
      <c r="A9" s="11" t="n">
        <v>46305</v>
      </c>
      <c r="B9" s="2" t="inlineStr">
        <is>
          <t>Other</t>
        </is>
      </c>
      <c r="C9" s="10" t="n"/>
      <c r="D9" s="10" t="n"/>
      <c r="E9" s="10" t="n"/>
      <c r="F9" s="10" t="n"/>
      <c r="G9" s="12">
        <f>IF(N(C9)=0,"",D9/C9)</f>
        <v/>
      </c>
      <c r="H9" s="12">
        <f>IF(N(D9)=0,"",E9/D9)</f>
        <v/>
      </c>
      <c r="I9" s="12">
        <f>IF(N(E9)=0,"",F9/E9)</f>
        <v/>
      </c>
      <c r="J9" s="10" t="n"/>
    </row>
    <row r="10">
      <c r="A10" s="11" t="n">
        <v>46306</v>
      </c>
      <c r="B10" s="2" t="inlineStr">
        <is>
          <t>Fiverr: n8n/Make/Zapier fix</t>
        </is>
      </c>
      <c r="C10" s="10" t="n"/>
      <c r="D10" s="10" t="n"/>
      <c r="E10" s="10" t="n"/>
      <c r="F10" s="10" t="n"/>
      <c r="G10" s="12">
        <f>IF(N(C10)=0,"",D10/C10)</f>
        <v/>
      </c>
      <c r="H10" s="12">
        <f>IF(N(D10)=0,"",E10/D10)</f>
        <v/>
      </c>
      <c r="I10" s="12">
        <f>IF(N(E10)=0,"",F10/E10)</f>
        <v/>
      </c>
      <c r="J10" s="10" t="n"/>
    </row>
    <row r="11">
      <c r="A11" s="11" t="n">
        <v>46306</v>
      </c>
      <c r="B11" s="2" t="inlineStr">
        <is>
          <t>Fiverr: Claude Code debugging</t>
        </is>
      </c>
      <c r="C11" s="10" t="n"/>
      <c r="D11" s="10" t="n"/>
      <c r="E11" s="10" t="n"/>
      <c r="F11" s="10" t="n"/>
      <c r="G11" s="12">
        <f>IF(N(C11)=0,"",D11/C11)</f>
        <v/>
      </c>
      <c r="H11" s="12">
        <f>IF(N(D11)=0,"",E11/D11)</f>
        <v/>
      </c>
      <c r="I11" s="12">
        <f>IF(N(E11)=0,"",F11/E11)</f>
        <v/>
      </c>
      <c r="J11" s="10" t="n"/>
    </row>
    <row r="12">
      <c r="A12" s="11" t="n">
        <v>46306</v>
      </c>
      <c r="B12" s="2" t="inlineStr">
        <is>
          <t>Fiverr: Stripe fix</t>
        </is>
      </c>
      <c r="C12" s="10" t="n"/>
      <c r="D12" s="10" t="n"/>
      <c r="E12" s="10" t="n"/>
      <c r="F12" s="10" t="n"/>
      <c r="G12" s="12">
        <f>IF(N(C12)=0,"",D12/C12)</f>
        <v/>
      </c>
      <c r="H12" s="12">
        <f>IF(N(D12)=0,"",E12/D12)</f>
        <v/>
      </c>
      <c r="I12" s="12">
        <f>IF(N(E12)=0,"",F12/E12)</f>
        <v/>
      </c>
      <c r="J12" s="10" t="n"/>
    </row>
    <row r="13">
      <c r="A13" s="11" t="n">
        <v>46306</v>
      </c>
      <c r="B13" s="2" t="inlineStr">
        <is>
          <t>Fiverr: Excel/CSV cleaning</t>
        </is>
      </c>
      <c r="C13" s="10" t="n"/>
      <c r="D13" s="10" t="n"/>
      <c r="E13" s="10" t="n"/>
      <c r="F13" s="10" t="n"/>
      <c r="G13" s="12">
        <f>IF(N(C13)=0,"",D13/C13)</f>
        <v/>
      </c>
      <c r="H13" s="12">
        <f>IF(N(D13)=0,"",E13/D13)</f>
        <v/>
      </c>
      <c r="I13" s="12">
        <f>IF(N(E13)=0,"",F13/E13)</f>
        <v/>
      </c>
      <c r="J13" s="10" t="n"/>
    </row>
    <row r="14">
      <c r="A14" s="11" t="n">
        <v>46306</v>
      </c>
      <c r="B14" s="2" t="inlineStr">
        <is>
          <t>Cleaning Quote Calculator</t>
        </is>
      </c>
      <c r="C14" s="10" t="n"/>
      <c r="D14" s="10" t="n"/>
      <c r="E14" s="10" t="n"/>
      <c r="F14" s="10" t="n"/>
      <c r="G14" s="12">
        <f>IF(N(C14)=0,"",D14/C14)</f>
        <v/>
      </c>
      <c r="H14" s="12">
        <f>IF(N(D14)=0,"",E14/D14)</f>
        <v/>
      </c>
      <c r="I14" s="12">
        <f>IF(N(E14)=0,"",F14/E14)</f>
        <v/>
      </c>
      <c r="J14" s="10" t="n"/>
    </row>
    <row r="15">
      <c r="A15" s="11" t="n">
        <v>46306</v>
      </c>
      <c r="B15" s="2" t="inlineStr">
        <is>
          <t>n8n pack: Agency Onboarding</t>
        </is>
      </c>
      <c r="C15" s="10" t="n"/>
      <c r="D15" s="10" t="n"/>
      <c r="E15" s="10" t="n"/>
      <c r="F15" s="10" t="n"/>
      <c r="G15" s="12">
        <f>IF(N(C15)=0,"",D15/C15)</f>
        <v/>
      </c>
      <c r="H15" s="12">
        <f>IF(N(D15)=0,"",E15/D15)</f>
        <v/>
      </c>
      <c r="I15" s="12">
        <f>IF(N(E15)=0,"",F15/E15)</f>
        <v/>
      </c>
      <c r="J15" s="10" t="n"/>
    </row>
    <row r="16">
      <c r="A16" s="11" t="n">
        <v>46306</v>
      </c>
      <c r="B16" s="2" t="inlineStr">
        <is>
          <t>n8n pack: Cleaning Lead-to-Booking</t>
        </is>
      </c>
      <c r="C16" s="10" t="n"/>
      <c r="D16" s="10" t="n"/>
      <c r="E16" s="10" t="n"/>
      <c r="F16" s="10" t="n"/>
      <c r="G16" s="12">
        <f>IF(N(C16)=0,"",D16/C16)</f>
        <v/>
      </c>
      <c r="H16" s="12">
        <f>IF(N(D16)=0,"",E16/D16)</f>
        <v/>
      </c>
      <c r="I16" s="12">
        <f>IF(N(E16)=0,"",F16/E16)</f>
        <v/>
      </c>
      <c r="J16" s="10" t="n"/>
    </row>
    <row r="17">
      <c r="A17" s="11" t="n">
        <v>46306</v>
      </c>
      <c r="B17" s="2" t="inlineStr">
        <is>
          <t>Other</t>
        </is>
      </c>
      <c r="C17" s="10" t="n"/>
      <c r="D17" s="10" t="n"/>
      <c r="E17" s="10" t="n"/>
      <c r="F17" s="10" t="n"/>
      <c r="G17" s="12">
        <f>IF(N(C17)=0,"",D17/C17)</f>
        <v/>
      </c>
      <c r="H17" s="12">
        <f>IF(N(D17)=0,"",E17/D17)</f>
        <v/>
      </c>
      <c r="I17" s="12">
        <f>IF(N(E17)=0,"",F17/E17)</f>
        <v/>
      </c>
      <c r="J17" s="10" t="n"/>
    </row>
    <row r="18">
      <c r="A18" s="11" t="n">
        <v>46307</v>
      </c>
      <c r="B18" s="2" t="inlineStr">
        <is>
          <t>Fiverr: n8n/Make/Zapier fix</t>
        </is>
      </c>
      <c r="C18" s="10" t="n"/>
      <c r="D18" s="10" t="n"/>
      <c r="E18" s="10" t="n"/>
      <c r="F18" s="10" t="n"/>
      <c r="G18" s="12">
        <f>IF(N(C18)=0,"",D18/C18)</f>
        <v/>
      </c>
      <c r="H18" s="12">
        <f>IF(N(D18)=0,"",E18/D18)</f>
        <v/>
      </c>
      <c r="I18" s="12">
        <f>IF(N(E18)=0,"",F18/E18)</f>
        <v/>
      </c>
      <c r="J18" s="10" t="n"/>
    </row>
    <row r="19">
      <c r="A19" s="11" t="n">
        <v>46307</v>
      </c>
      <c r="B19" s="2" t="inlineStr">
        <is>
          <t>Fiverr: Claude Code debugging</t>
        </is>
      </c>
      <c r="C19" s="10" t="n"/>
      <c r="D19" s="10" t="n"/>
      <c r="E19" s="10" t="n"/>
      <c r="F19" s="10" t="n"/>
      <c r="G19" s="12">
        <f>IF(N(C19)=0,"",D19/C19)</f>
        <v/>
      </c>
      <c r="H19" s="12">
        <f>IF(N(D19)=0,"",E19/D19)</f>
        <v/>
      </c>
      <c r="I19" s="12">
        <f>IF(N(E19)=0,"",F19/E19)</f>
        <v/>
      </c>
      <c r="J19" s="10" t="n"/>
    </row>
    <row r="20">
      <c r="A20" s="11" t="n">
        <v>46307</v>
      </c>
      <c r="B20" s="2" t="inlineStr">
        <is>
          <t>Fiverr: Stripe fix</t>
        </is>
      </c>
      <c r="C20" s="10" t="n"/>
      <c r="D20" s="10" t="n"/>
      <c r="E20" s="10" t="n"/>
      <c r="F20" s="10" t="n"/>
      <c r="G20" s="12">
        <f>IF(N(C20)=0,"",D20/C20)</f>
        <v/>
      </c>
      <c r="H20" s="12">
        <f>IF(N(D20)=0,"",E20/D20)</f>
        <v/>
      </c>
      <c r="I20" s="12">
        <f>IF(N(E20)=0,"",F20/E20)</f>
        <v/>
      </c>
      <c r="J20" s="10" t="n"/>
    </row>
    <row r="21">
      <c r="A21" s="11" t="n">
        <v>46307</v>
      </c>
      <c r="B21" s="2" t="inlineStr">
        <is>
          <t>Fiverr: Excel/CSV cleaning</t>
        </is>
      </c>
      <c r="C21" s="10" t="n"/>
      <c r="D21" s="10" t="n"/>
      <c r="E21" s="10" t="n"/>
      <c r="F21" s="10" t="n"/>
      <c r="G21" s="12">
        <f>IF(N(C21)=0,"",D21/C21)</f>
        <v/>
      </c>
      <c r="H21" s="12">
        <f>IF(N(D21)=0,"",E21/D21)</f>
        <v/>
      </c>
      <c r="I21" s="12">
        <f>IF(N(E21)=0,"",F21/E21)</f>
        <v/>
      </c>
      <c r="J21" s="10" t="n"/>
    </row>
    <row r="22">
      <c r="A22" s="11" t="n">
        <v>46307</v>
      </c>
      <c r="B22" s="2" t="inlineStr">
        <is>
          <t>Cleaning Quote Calculator</t>
        </is>
      </c>
      <c r="C22" s="10" t="n"/>
      <c r="D22" s="10" t="n"/>
      <c r="E22" s="10" t="n"/>
      <c r="F22" s="10" t="n"/>
      <c r="G22" s="12">
        <f>IF(N(C22)=0,"",D22/C22)</f>
        <v/>
      </c>
      <c r="H22" s="12">
        <f>IF(N(D22)=0,"",E22/D22)</f>
        <v/>
      </c>
      <c r="I22" s="12">
        <f>IF(N(E22)=0,"",F22/E22)</f>
        <v/>
      </c>
      <c r="J22" s="10" t="n"/>
    </row>
    <row r="23">
      <c r="A23" s="11" t="n">
        <v>46307</v>
      </c>
      <c r="B23" s="2" t="inlineStr">
        <is>
          <t>n8n pack: Agency Onboarding</t>
        </is>
      </c>
      <c r="C23" s="10" t="n"/>
      <c r="D23" s="10" t="n"/>
      <c r="E23" s="10" t="n"/>
      <c r="F23" s="10" t="n"/>
      <c r="G23" s="12">
        <f>IF(N(C23)=0,"",D23/C23)</f>
        <v/>
      </c>
      <c r="H23" s="12">
        <f>IF(N(D23)=0,"",E23/D23)</f>
        <v/>
      </c>
      <c r="I23" s="12">
        <f>IF(N(E23)=0,"",F23/E23)</f>
        <v/>
      </c>
      <c r="J23" s="10" t="n"/>
    </row>
    <row r="24">
      <c r="A24" s="11" t="n">
        <v>46307</v>
      </c>
      <c r="B24" s="2" t="inlineStr">
        <is>
          <t>n8n pack: Cleaning Lead-to-Booking</t>
        </is>
      </c>
      <c r="C24" s="10" t="n"/>
      <c r="D24" s="10" t="n"/>
      <c r="E24" s="10" t="n"/>
      <c r="F24" s="10" t="n"/>
      <c r="G24" s="12">
        <f>IF(N(C24)=0,"",D24/C24)</f>
        <v/>
      </c>
      <c r="H24" s="12">
        <f>IF(N(D24)=0,"",E24/D24)</f>
        <v/>
      </c>
      <c r="I24" s="12">
        <f>IF(N(E24)=0,"",F24/E24)</f>
        <v/>
      </c>
      <c r="J24" s="10" t="n"/>
    </row>
    <row r="25">
      <c r="A25" s="11" t="n">
        <v>46307</v>
      </c>
      <c r="B25" s="2" t="inlineStr">
        <is>
          <t>Other</t>
        </is>
      </c>
      <c r="C25" s="10" t="n"/>
      <c r="D25" s="10" t="n"/>
      <c r="E25" s="10" t="n"/>
      <c r="F25" s="10" t="n"/>
      <c r="G25" s="12">
        <f>IF(N(C25)=0,"",D25/C25)</f>
        <v/>
      </c>
      <c r="H25" s="12">
        <f>IF(N(D25)=0,"",E25/D25)</f>
        <v/>
      </c>
      <c r="I25" s="12">
        <f>IF(N(E25)=0,"",F25/E25)</f>
        <v/>
      </c>
      <c r="J25" s="10" t="n"/>
    </row>
    <row r="26">
      <c r="A26" s="11" t="n">
        <v>46308</v>
      </c>
      <c r="B26" s="2" t="inlineStr">
        <is>
          <t>Fiverr: n8n/Make/Zapier fix</t>
        </is>
      </c>
      <c r="C26" s="10" t="n"/>
      <c r="D26" s="10" t="n"/>
      <c r="E26" s="10" t="n"/>
      <c r="F26" s="10" t="n"/>
      <c r="G26" s="12">
        <f>IF(N(C26)=0,"",D26/C26)</f>
        <v/>
      </c>
      <c r="H26" s="12">
        <f>IF(N(D26)=0,"",E26/D26)</f>
        <v/>
      </c>
      <c r="I26" s="12">
        <f>IF(N(E26)=0,"",F26/E26)</f>
        <v/>
      </c>
      <c r="J26" s="10" t="n"/>
    </row>
    <row r="27">
      <c r="A27" s="11" t="n">
        <v>46308</v>
      </c>
      <c r="B27" s="2" t="inlineStr">
        <is>
          <t>Fiverr: Claude Code debugging</t>
        </is>
      </c>
      <c r="C27" s="10" t="n"/>
      <c r="D27" s="10" t="n"/>
      <c r="E27" s="10" t="n"/>
      <c r="F27" s="10" t="n"/>
      <c r="G27" s="12">
        <f>IF(N(C27)=0,"",D27/C27)</f>
        <v/>
      </c>
      <c r="H27" s="12">
        <f>IF(N(D27)=0,"",E27/D27)</f>
        <v/>
      </c>
      <c r="I27" s="12">
        <f>IF(N(E27)=0,"",F27/E27)</f>
        <v/>
      </c>
      <c r="J27" s="10" t="n"/>
    </row>
    <row r="28">
      <c r="A28" s="11" t="n">
        <v>46308</v>
      </c>
      <c r="B28" s="2" t="inlineStr">
        <is>
          <t>Fiverr: Stripe fix</t>
        </is>
      </c>
      <c r="C28" s="10" t="n"/>
      <c r="D28" s="10" t="n"/>
      <c r="E28" s="10" t="n"/>
      <c r="F28" s="10" t="n"/>
      <c r="G28" s="12">
        <f>IF(N(C28)=0,"",D28/C28)</f>
        <v/>
      </c>
      <c r="H28" s="12">
        <f>IF(N(D28)=0,"",E28/D28)</f>
        <v/>
      </c>
      <c r="I28" s="12">
        <f>IF(N(E28)=0,"",F28/E28)</f>
        <v/>
      </c>
      <c r="J28" s="10" t="n"/>
    </row>
    <row r="29">
      <c r="A29" s="11" t="n">
        <v>46308</v>
      </c>
      <c r="B29" s="2" t="inlineStr">
        <is>
          <t>Fiverr: Excel/CSV cleaning</t>
        </is>
      </c>
      <c r="C29" s="10" t="n"/>
      <c r="D29" s="10" t="n"/>
      <c r="E29" s="10" t="n"/>
      <c r="F29" s="10" t="n"/>
      <c r="G29" s="12">
        <f>IF(N(C29)=0,"",D29/C29)</f>
        <v/>
      </c>
      <c r="H29" s="12">
        <f>IF(N(D29)=0,"",E29/D29)</f>
        <v/>
      </c>
      <c r="I29" s="12">
        <f>IF(N(E29)=0,"",F29/E29)</f>
        <v/>
      </c>
      <c r="J29" s="10" t="n"/>
    </row>
    <row r="30">
      <c r="A30" s="11" t="n">
        <v>46308</v>
      </c>
      <c r="B30" s="2" t="inlineStr">
        <is>
          <t>Cleaning Quote Calculator</t>
        </is>
      </c>
      <c r="C30" s="10" t="n"/>
      <c r="D30" s="10" t="n"/>
      <c r="E30" s="10" t="n"/>
      <c r="F30" s="10" t="n"/>
      <c r="G30" s="12">
        <f>IF(N(C30)=0,"",D30/C30)</f>
        <v/>
      </c>
      <c r="H30" s="12">
        <f>IF(N(D30)=0,"",E30/D30)</f>
        <v/>
      </c>
      <c r="I30" s="12">
        <f>IF(N(E30)=0,"",F30/E30)</f>
        <v/>
      </c>
      <c r="J30" s="10" t="n"/>
    </row>
    <row r="31">
      <c r="A31" s="11" t="n">
        <v>46308</v>
      </c>
      <c r="B31" s="2" t="inlineStr">
        <is>
          <t>n8n pack: Agency Onboarding</t>
        </is>
      </c>
      <c r="C31" s="10" t="n"/>
      <c r="D31" s="10" t="n"/>
      <c r="E31" s="10" t="n"/>
      <c r="F31" s="10" t="n"/>
      <c r="G31" s="12">
        <f>IF(N(C31)=0,"",D31/C31)</f>
        <v/>
      </c>
      <c r="H31" s="12">
        <f>IF(N(D31)=0,"",E31/D31)</f>
        <v/>
      </c>
      <c r="I31" s="12">
        <f>IF(N(E31)=0,"",F31/E31)</f>
        <v/>
      </c>
      <c r="J31" s="10" t="n"/>
    </row>
    <row r="32">
      <c r="A32" s="11" t="n">
        <v>46308</v>
      </c>
      <c r="B32" s="2" t="inlineStr">
        <is>
          <t>n8n pack: Cleaning Lead-to-Booking</t>
        </is>
      </c>
      <c r="C32" s="10" t="n"/>
      <c r="D32" s="10" t="n"/>
      <c r="E32" s="10" t="n"/>
      <c r="F32" s="10" t="n"/>
      <c r="G32" s="12">
        <f>IF(N(C32)=0,"",D32/C32)</f>
        <v/>
      </c>
      <c r="H32" s="12">
        <f>IF(N(D32)=0,"",E32/D32)</f>
        <v/>
      </c>
      <c r="I32" s="12">
        <f>IF(N(E32)=0,"",F32/E32)</f>
        <v/>
      </c>
      <c r="J32" s="10" t="n"/>
    </row>
    <row r="33">
      <c r="A33" s="11" t="n">
        <v>46308</v>
      </c>
      <c r="B33" s="2" t="inlineStr">
        <is>
          <t>Other</t>
        </is>
      </c>
      <c r="C33" s="10" t="n"/>
      <c r="D33" s="10" t="n"/>
      <c r="E33" s="10" t="n"/>
      <c r="F33" s="10" t="n"/>
      <c r="G33" s="12">
        <f>IF(N(C33)=0,"",D33/C33)</f>
        <v/>
      </c>
      <c r="H33" s="12">
        <f>IF(N(D33)=0,"",E33/D33)</f>
        <v/>
      </c>
      <c r="I33" s="12">
        <f>IF(N(E33)=0,"",F33/E33)</f>
        <v/>
      </c>
      <c r="J33" s="10" t="n"/>
    </row>
    <row r="34">
      <c r="A34" s="11" t="n">
        <v>46309</v>
      </c>
      <c r="B34" s="2" t="inlineStr">
        <is>
          <t>Fiverr: n8n/Make/Zapier fix</t>
        </is>
      </c>
      <c r="C34" s="10" t="n"/>
      <c r="D34" s="10" t="n"/>
      <c r="E34" s="10" t="n"/>
      <c r="F34" s="10" t="n"/>
      <c r="G34" s="12">
        <f>IF(N(C34)=0,"",D34/C34)</f>
        <v/>
      </c>
      <c r="H34" s="12">
        <f>IF(N(D34)=0,"",E34/D34)</f>
        <v/>
      </c>
      <c r="I34" s="12">
        <f>IF(N(E34)=0,"",F34/E34)</f>
        <v/>
      </c>
      <c r="J34" s="10" t="n"/>
    </row>
    <row r="35">
      <c r="A35" s="11" t="n">
        <v>46309</v>
      </c>
      <c r="B35" s="2" t="inlineStr">
        <is>
          <t>Fiverr: Claude Code debugging</t>
        </is>
      </c>
      <c r="C35" s="10" t="n"/>
      <c r="D35" s="10" t="n"/>
      <c r="E35" s="10" t="n"/>
      <c r="F35" s="10" t="n"/>
      <c r="G35" s="12">
        <f>IF(N(C35)=0,"",D35/C35)</f>
        <v/>
      </c>
      <c r="H35" s="12">
        <f>IF(N(D35)=0,"",E35/D35)</f>
        <v/>
      </c>
      <c r="I35" s="12">
        <f>IF(N(E35)=0,"",F35/E35)</f>
        <v/>
      </c>
      <c r="J35" s="10" t="n"/>
    </row>
    <row r="36">
      <c r="A36" s="11" t="n">
        <v>46309</v>
      </c>
      <c r="B36" s="2" t="inlineStr">
        <is>
          <t>Fiverr: Stripe fix</t>
        </is>
      </c>
      <c r="C36" s="10" t="n"/>
      <c r="D36" s="10" t="n"/>
      <c r="E36" s="10" t="n"/>
      <c r="F36" s="10" t="n"/>
      <c r="G36" s="12">
        <f>IF(N(C36)=0,"",D36/C36)</f>
        <v/>
      </c>
      <c r="H36" s="12">
        <f>IF(N(D36)=0,"",E36/D36)</f>
        <v/>
      </c>
      <c r="I36" s="12">
        <f>IF(N(E36)=0,"",F36/E36)</f>
        <v/>
      </c>
      <c r="J36" s="10" t="n"/>
    </row>
    <row r="37">
      <c r="A37" s="11" t="n">
        <v>46309</v>
      </c>
      <c r="B37" s="2" t="inlineStr">
        <is>
          <t>Fiverr: Excel/CSV cleaning</t>
        </is>
      </c>
      <c r="C37" s="10" t="n"/>
      <c r="D37" s="10" t="n"/>
      <c r="E37" s="10" t="n"/>
      <c r="F37" s="10" t="n"/>
      <c r="G37" s="12">
        <f>IF(N(C37)=0,"",D37/C37)</f>
        <v/>
      </c>
      <c r="H37" s="12">
        <f>IF(N(D37)=0,"",E37/D37)</f>
        <v/>
      </c>
      <c r="I37" s="12">
        <f>IF(N(E37)=0,"",F37/E37)</f>
        <v/>
      </c>
      <c r="J37" s="10" t="n"/>
    </row>
    <row r="38">
      <c r="A38" s="11" t="n">
        <v>46309</v>
      </c>
      <c r="B38" s="2" t="inlineStr">
        <is>
          <t>Cleaning Quote Calculator</t>
        </is>
      </c>
      <c r="C38" s="10" t="n"/>
      <c r="D38" s="10" t="n"/>
      <c r="E38" s="10" t="n"/>
      <c r="F38" s="10" t="n"/>
      <c r="G38" s="12">
        <f>IF(N(C38)=0,"",D38/C38)</f>
        <v/>
      </c>
      <c r="H38" s="12">
        <f>IF(N(D38)=0,"",E38/D38)</f>
        <v/>
      </c>
      <c r="I38" s="12">
        <f>IF(N(E38)=0,"",F38/E38)</f>
        <v/>
      </c>
      <c r="J38" s="10" t="n"/>
    </row>
    <row r="39">
      <c r="A39" s="11" t="n">
        <v>46309</v>
      </c>
      <c r="B39" s="2" t="inlineStr">
        <is>
          <t>n8n pack: Agency Onboarding</t>
        </is>
      </c>
      <c r="C39" s="10" t="n"/>
      <c r="D39" s="10" t="n"/>
      <c r="E39" s="10" t="n"/>
      <c r="F39" s="10" t="n"/>
      <c r="G39" s="12">
        <f>IF(N(C39)=0,"",D39/C39)</f>
        <v/>
      </c>
      <c r="H39" s="12">
        <f>IF(N(D39)=0,"",E39/D39)</f>
        <v/>
      </c>
      <c r="I39" s="12">
        <f>IF(N(E39)=0,"",F39/E39)</f>
        <v/>
      </c>
      <c r="J39" s="10" t="n"/>
    </row>
    <row r="40">
      <c r="A40" s="11" t="n">
        <v>46309</v>
      </c>
      <c r="B40" s="2" t="inlineStr">
        <is>
          <t>n8n pack: Cleaning Lead-to-Booking</t>
        </is>
      </c>
      <c r="C40" s="10" t="n"/>
      <c r="D40" s="10" t="n"/>
      <c r="E40" s="10" t="n"/>
      <c r="F40" s="10" t="n"/>
      <c r="G40" s="12">
        <f>IF(N(C40)=0,"",D40/C40)</f>
        <v/>
      </c>
      <c r="H40" s="12">
        <f>IF(N(D40)=0,"",E40/D40)</f>
        <v/>
      </c>
      <c r="I40" s="12">
        <f>IF(N(E40)=0,"",F40/E40)</f>
        <v/>
      </c>
      <c r="J40" s="10" t="n"/>
    </row>
    <row r="41">
      <c r="A41" s="11" t="n">
        <v>46309</v>
      </c>
      <c r="B41" s="2" t="inlineStr">
        <is>
          <t>Other</t>
        </is>
      </c>
      <c r="C41" s="10" t="n"/>
      <c r="D41" s="10" t="n"/>
      <c r="E41" s="10" t="n"/>
      <c r="F41" s="10" t="n"/>
      <c r="G41" s="12">
        <f>IF(N(C41)=0,"",D41/C41)</f>
        <v/>
      </c>
      <c r="H41" s="12">
        <f>IF(N(D41)=0,"",E41/D41)</f>
        <v/>
      </c>
      <c r="I41" s="12">
        <f>IF(N(E41)=0,"",F41/E41)</f>
        <v/>
      </c>
      <c r="J41" s="10" t="n"/>
    </row>
    <row r="42">
      <c r="A42" s="11" t="n">
        <v>46310</v>
      </c>
      <c r="B42" s="2" t="inlineStr">
        <is>
          <t>Fiverr: n8n/Make/Zapier fix</t>
        </is>
      </c>
      <c r="C42" s="10" t="n"/>
      <c r="D42" s="10" t="n"/>
      <c r="E42" s="10" t="n"/>
      <c r="F42" s="10" t="n"/>
      <c r="G42" s="12">
        <f>IF(N(C42)=0,"",D42/C42)</f>
        <v/>
      </c>
      <c r="H42" s="12">
        <f>IF(N(D42)=0,"",E42/D42)</f>
        <v/>
      </c>
      <c r="I42" s="12">
        <f>IF(N(E42)=0,"",F42/E42)</f>
        <v/>
      </c>
      <c r="J42" s="10" t="n"/>
    </row>
    <row r="43">
      <c r="A43" s="11" t="n">
        <v>46310</v>
      </c>
      <c r="B43" s="2" t="inlineStr">
        <is>
          <t>Fiverr: Claude Code debugging</t>
        </is>
      </c>
      <c r="C43" s="10" t="n"/>
      <c r="D43" s="10" t="n"/>
      <c r="E43" s="10" t="n"/>
      <c r="F43" s="10" t="n"/>
      <c r="G43" s="12">
        <f>IF(N(C43)=0,"",D43/C43)</f>
        <v/>
      </c>
      <c r="H43" s="12">
        <f>IF(N(D43)=0,"",E43/D43)</f>
        <v/>
      </c>
      <c r="I43" s="12">
        <f>IF(N(E43)=0,"",F43/E43)</f>
        <v/>
      </c>
      <c r="J43" s="10" t="n"/>
    </row>
    <row r="44">
      <c r="A44" s="11" t="n">
        <v>46310</v>
      </c>
      <c r="B44" s="2" t="inlineStr">
        <is>
          <t>Fiverr: Stripe fix</t>
        </is>
      </c>
      <c r="C44" s="10" t="n"/>
      <c r="D44" s="10" t="n"/>
      <c r="E44" s="10" t="n"/>
      <c r="F44" s="10" t="n"/>
      <c r="G44" s="12">
        <f>IF(N(C44)=0,"",D44/C44)</f>
        <v/>
      </c>
      <c r="H44" s="12">
        <f>IF(N(D44)=0,"",E44/D44)</f>
        <v/>
      </c>
      <c r="I44" s="12">
        <f>IF(N(E44)=0,"",F44/E44)</f>
        <v/>
      </c>
      <c r="J44" s="10" t="n"/>
    </row>
    <row r="45">
      <c r="A45" s="11" t="n">
        <v>46310</v>
      </c>
      <c r="B45" s="2" t="inlineStr">
        <is>
          <t>Fiverr: Excel/CSV cleaning</t>
        </is>
      </c>
      <c r="C45" s="10" t="n"/>
      <c r="D45" s="10" t="n"/>
      <c r="E45" s="10" t="n"/>
      <c r="F45" s="10" t="n"/>
      <c r="G45" s="12">
        <f>IF(N(C45)=0,"",D45/C45)</f>
        <v/>
      </c>
      <c r="H45" s="12">
        <f>IF(N(D45)=0,"",E45/D45)</f>
        <v/>
      </c>
      <c r="I45" s="12">
        <f>IF(N(E45)=0,"",F45/E45)</f>
        <v/>
      </c>
      <c r="J45" s="10" t="n"/>
    </row>
    <row r="46">
      <c r="A46" s="11" t="n">
        <v>46310</v>
      </c>
      <c r="B46" s="2" t="inlineStr">
        <is>
          <t>Cleaning Quote Calculator</t>
        </is>
      </c>
      <c r="C46" s="10" t="n"/>
      <c r="D46" s="10" t="n"/>
      <c r="E46" s="10" t="n"/>
      <c r="F46" s="10" t="n"/>
      <c r="G46" s="12">
        <f>IF(N(C46)=0,"",D46/C46)</f>
        <v/>
      </c>
      <c r="H46" s="12">
        <f>IF(N(D46)=0,"",E46/D46)</f>
        <v/>
      </c>
      <c r="I46" s="12">
        <f>IF(N(E46)=0,"",F46/E46)</f>
        <v/>
      </c>
      <c r="J46" s="10" t="n"/>
    </row>
    <row r="47">
      <c r="A47" s="11" t="n">
        <v>46310</v>
      </c>
      <c r="B47" s="2" t="inlineStr">
        <is>
          <t>n8n pack: Agency Onboarding</t>
        </is>
      </c>
      <c r="C47" s="10" t="n"/>
      <c r="D47" s="10" t="n"/>
      <c r="E47" s="10" t="n"/>
      <c r="F47" s="10" t="n"/>
      <c r="G47" s="12">
        <f>IF(N(C47)=0,"",D47/C47)</f>
        <v/>
      </c>
      <c r="H47" s="12">
        <f>IF(N(D47)=0,"",E47/D47)</f>
        <v/>
      </c>
      <c r="I47" s="12">
        <f>IF(N(E47)=0,"",F47/E47)</f>
        <v/>
      </c>
      <c r="J47" s="10" t="n"/>
    </row>
    <row r="48">
      <c r="A48" s="11" t="n">
        <v>46310</v>
      </c>
      <c r="B48" s="2" t="inlineStr">
        <is>
          <t>n8n pack: Cleaning Lead-to-Booking</t>
        </is>
      </c>
      <c r="C48" s="10" t="n"/>
      <c r="D48" s="10" t="n"/>
      <c r="E48" s="10" t="n"/>
      <c r="F48" s="10" t="n"/>
      <c r="G48" s="12">
        <f>IF(N(C48)=0,"",D48/C48)</f>
        <v/>
      </c>
      <c r="H48" s="12">
        <f>IF(N(D48)=0,"",E48/D48)</f>
        <v/>
      </c>
      <c r="I48" s="12">
        <f>IF(N(E48)=0,"",F48/E48)</f>
        <v/>
      </c>
      <c r="J48" s="10" t="n"/>
    </row>
    <row r="49">
      <c r="A49" s="11" t="n">
        <v>46310</v>
      </c>
      <c r="B49" s="2" t="inlineStr">
        <is>
          <t>Other</t>
        </is>
      </c>
      <c r="C49" s="10" t="n"/>
      <c r="D49" s="10" t="n"/>
      <c r="E49" s="10" t="n"/>
      <c r="F49" s="10" t="n"/>
      <c r="G49" s="12">
        <f>IF(N(C49)=0,"",D49/C49)</f>
        <v/>
      </c>
      <c r="H49" s="12">
        <f>IF(N(D49)=0,"",E49/D49)</f>
        <v/>
      </c>
      <c r="I49" s="12">
        <f>IF(N(E49)=0,"",F49/E49)</f>
        <v/>
      </c>
      <c r="J49" s="10" t="n"/>
    </row>
    <row r="50">
      <c r="A50" s="11" t="n">
        <v>46311</v>
      </c>
      <c r="B50" s="2" t="inlineStr">
        <is>
          <t>Fiverr: n8n/Make/Zapier fix</t>
        </is>
      </c>
      <c r="C50" s="10" t="n"/>
      <c r="D50" s="10" t="n"/>
      <c r="E50" s="10" t="n"/>
      <c r="F50" s="10" t="n"/>
      <c r="G50" s="12">
        <f>IF(N(C50)=0,"",D50/C50)</f>
        <v/>
      </c>
      <c r="H50" s="12">
        <f>IF(N(D50)=0,"",E50/D50)</f>
        <v/>
      </c>
      <c r="I50" s="12">
        <f>IF(N(E50)=0,"",F50/E50)</f>
        <v/>
      </c>
      <c r="J50" s="10" t="n"/>
    </row>
    <row r="51">
      <c r="A51" s="11" t="n">
        <v>46311</v>
      </c>
      <c r="B51" s="2" t="inlineStr">
        <is>
          <t>Fiverr: Claude Code debugging</t>
        </is>
      </c>
      <c r="C51" s="10" t="n"/>
      <c r="D51" s="10" t="n"/>
      <c r="E51" s="10" t="n"/>
      <c r="F51" s="10" t="n"/>
      <c r="G51" s="12">
        <f>IF(N(C51)=0,"",D51/C51)</f>
        <v/>
      </c>
      <c r="H51" s="12">
        <f>IF(N(D51)=0,"",E51/D51)</f>
        <v/>
      </c>
      <c r="I51" s="12">
        <f>IF(N(E51)=0,"",F51/E51)</f>
        <v/>
      </c>
      <c r="J51" s="10" t="n"/>
    </row>
    <row r="52">
      <c r="A52" s="11" t="n">
        <v>46311</v>
      </c>
      <c r="B52" s="2" t="inlineStr">
        <is>
          <t>Fiverr: Stripe fix</t>
        </is>
      </c>
      <c r="C52" s="10" t="n"/>
      <c r="D52" s="10" t="n"/>
      <c r="E52" s="10" t="n"/>
      <c r="F52" s="10" t="n"/>
      <c r="G52" s="12">
        <f>IF(N(C52)=0,"",D52/C52)</f>
        <v/>
      </c>
      <c r="H52" s="12">
        <f>IF(N(D52)=0,"",E52/D52)</f>
        <v/>
      </c>
      <c r="I52" s="12">
        <f>IF(N(E52)=0,"",F52/E52)</f>
        <v/>
      </c>
      <c r="J52" s="10" t="n"/>
    </row>
    <row r="53">
      <c r="A53" s="11" t="n">
        <v>46311</v>
      </c>
      <c r="B53" s="2" t="inlineStr">
        <is>
          <t>Fiverr: Excel/CSV cleaning</t>
        </is>
      </c>
      <c r="C53" s="10" t="n"/>
      <c r="D53" s="10" t="n"/>
      <c r="E53" s="10" t="n"/>
      <c r="F53" s="10" t="n"/>
      <c r="G53" s="12">
        <f>IF(N(C53)=0,"",D53/C53)</f>
        <v/>
      </c>
      <c r="H53" s="12">
        <f>IF(N(D53)=0,"",E53/D53)</f>
        <v/>
      </c>
      <c r="I53" s="12">
        <f>IF(N(E53)=0,"",F53/E53)</f>
        <v/>
      </c>
      <c r="J53" s="10" t="n"/>
    </row>
    <row r="54">
      <c r="A54" s="11" t="n">
        <v>46311</v>
      </c>
      <c r="B54" s="2" t="inlineStr">
        <is>
          <t>Cleaning Quote Calculator</t>
        </is>
      </c>
      <c r="C54" s="10" t="n"/>
      <c r="D54" s="10" t="n"/>
      <c r="E54" s="10" t="n"/>
      <c r="F54" s="10" t="n"/>
      <c r="G54" s="12">
        <f>IF(N(C54)=0,"",D54/C54)</f>
        <v/>
      </c>
      <c r="H54" s="12">
        <f>IF(N(D54)=0,"",E54/D54)</f>
        <v/>
      </c>
      <c r="I54" s="12">
        <f>IF(N(E54)=0,"",F54/E54)</f>
        <v/>
      </c>
      <c r="J54" s="10" t="n"/>
    </row>
    <row r="55">
      <c r="A55" s="11" t="n">
        <v>46311</v>
      </c>
      <c r="B55" s="2" t="inlineStr">
        <is>
          <t>n8n pack: Agency Onboarding</t>
        </is>
      </c>
      <c r="C55" s="10" t="n"/>
      <c r="D55" s="10" t="n"/>
      <c r="E55" s="10" t="n"/>
      <c r="F55" s="10" t="n"/>
      <c r="G55" s="12">
        <f>IF(N(C55)=0,"",D55/C55)</f>
        <v/>
      </c>
      <c r="H55" s="12">
        <f>IF(N(D55)=0,"",E55/D55)</f>
        <v/>
      </c>
      <c r="I55" s="12">
        <f>IF(N(E55)=0,"",F55/E55)</f>
        <v/>
      </c>
      <c r="J55" s="10" t="n"/>
    </row>
    <row r="56">
      <c r="A56" s="11" t="n">
        <v>46311</v>
      </c>
      <c r="B56" s="2" t="inlineStr">
        <is>
          <t>n8n pack: Cleaning Lead-to-Booking</t>
        </is>
      </c>
      <c r="C56" s="10" t="n"/>
      <c r="D56" s="10" t="n"/>
      <c r="E56" s="10" t="n"/>
      <c r="F56" s="10" t="n"/>
      <c r="G56" s="12">
        <f>IF(N(C56)=0,"",D56/C56)</f>
        <v/>
      </c>
      <c r="H56" s="12">
        <f>IF(N(D56)=0,"",E56/D56)</f>
        <v/>
      </c>
      <c r="I56" s="12">
        <f>IF(N(E56)=0,"",F56/E56)</f>
        <v/>
      </c>
      <c r="J56" s="10" t="n"/>
    </row>
    <row r="57">
      <c r="A57" s="11" t="n">
        <v>46311</v>
      </c>
      <c r="B57" s="2" t="inlineStr">
        <is>
          <t>Other</t>
        </is>
      </c>
      <c r="C57" s="10" t="n"/>
      <c r="D57" s="10" t="n"/>
      <c r="E57" s="10" t="n"/>
      <c r="F57" s="10" t="n"/>
      <c r="G57" s="12">
        <f>IF(N(C57)=0,"",D57/C57)</f>
        <v/>
      </c>
      <c r="H57" s="12">
        <f>IF(N(D57)=0,"",E57/D57)</f>
        <v/>
      </c>
      <c r="I57" s="12">
        <f>IF(N(E57)=0,"",F57/E57)</f>
        <v/>
      </c>
      <c r="J57" s="10" t="n"/>
    </row>
    <row r="58">
      <c r="A58" s="11" t="n">
        <v>46312</v>
      </c>
      <c r="B58" s="2" t="inlineStr">
        <is>
          <t>Fiverr: n8n/Make/Zapier fix</t>
        </is>
      </c>
      <c r="C58" s="10" t="n"/>
      <c r="D58" s="10" t="n"/>
      <c r="E58" s="10" t="n"/>
      <c r="F58" s="10" t="n"/>
      <c r="G58" s="12">
        <f>IF(N(C58)=0,"",D58/C58)</f>
        <v/>
      </c>
      <c r="H58" s="12">
        <f>IF(N(D58)=0,"",E58/D58)</f>
        <v/>
      </c>
      <c r="I58" s="12">
        <f>IF(N(E58)=0,"",F58/E58)</f>
        <v/>
      </c>
      <c r="J58" s="10" t="n"/>
    </row>
    <row r="59">
      <c r="A59" s="11" t="n">
        <v>46312</v>
      </c>
      <c r="B59" s="2" t="inlineStr">
        <is>
          <t>Fiverr: Claude Code debugging</t>
        </is>
      </c>
      <c r="C59" s="10" t="n"/>
      <c r="D59" s="10" t="n"/>
      <c r="E59" s="10" t="n"/>
      <c r="F59" s="10" t="n"/>
      <c r="G59" s="12">
        <f>IF(N(C59)=0,"",D59/C59)</f>
        <v/>
      </c>
      <c r="H59" s="12">
        <f>IF(N(D59)=0,"",E59/D59)</f>
        <v/>
      </c>
      <c r="I59" s="12">
        <f>IF(N(E59)=0,"",F59/E59)</f>
        <v/>
      </c>
      <c r="J59" s="10" t="n"/>
    </row>
    <row r="60">
      <c r="A60" s="11" t="n">
        <v>46312</v>
      </c>
      <c r="B60" s="2" t="inlineStr">
        <is>
          <t>Fiverr: Stripe fix</t>
        </is>
      </c>
      <c r="C60" s="10" t="n"/>
      <c r="D60" s="10" t="n"/>
      <c r="E60" s="10" t="n"/>
      <c r="F60" s="10" t="n"/>
      <c r="G60" s="12">
        <f>IF(N(C60)=0,"",D60/C60)</f>
        <v/>
      </c>
      <c r="H60" s="12">
        <f>IF(N(D60)=0,"",E60/D60)</f>
        <v/>
      </c>
      <c r="I60" s="12">
        <f>IF(N(E60)=0,"",F60/E60)</f>
        <v/>
      </c>
      <c r="J60" s="10" t="n"/>
    </row>
    <row r="61">
      <c r="A61" s="11" t="n">
        <v>46312</v>
      </c>
      <c r="B61" s="2" t="inlineStr">
        <is>
          <t>Fiverr: Excel/CSV cleaning</t>
        </is>
      </c>
      <c r="C61" s="10" t="n"/>
      <c r="D61" s="10" t="n"/>
      <c r="E61" s="10" t="n"/>
      <c r="F61" s="10" t="n"/>
      <c r="G61" s="12">
        <f>IF(N(C61)=0,"",D61/C61)</f>
        <v/>
      </c>
      <c r="H61" s="12">
        <f>IF(N(D61)=0,"",E61/D61)</f>
        <v/>
      </c>
      <c r="I61" s="12">
        <f>IF(N(E61)=0,"",F61/E61)</f>
        <v/>
      </c>
      <c r="J61" s="10" t="n"/>
    </row>
    <row r="62">
      <c r="A62" s="11" t="n">
        <v>46312</v>
      </c>
      <c r="B62" s="2" t="inlineStr">
        <is>
          <t>Cleaning Quote Calculator</t>
        </is>
      </c>
      <c r="C62" s="10" t="n"/>
      <c r="D62" s="10" t="n"/>
      <c r="E62" s="10" t="n"/>
      <c r="F62" s="10" t="n"/>
      <c r="G62" s="12">
        <f>IF(N(C62)=0,"",D62/C62)</f>
        <v/>
      </c>
      <c r="H62" s="12">
        <f>IF(N(D62)=0,"",E62/D62)</f>
        <v/>
      </c>
      <c r="I62" s="12">
        <f>IF(N(E62)=0,"",F62/E62)</f>
        <v/>
      </c>
      <c r="J62" s="10" t="n"/>
    </row>
    <row r="63">
      <c r="A63" s="11" t="n">
        <v>46312</v>
      </c>
      <c r="B63" s="2" t="inlineStr">
        <is>
          <t>n8n pack: Agency Onboarding</t>
        </is>
      </c>
      <c r="C63" s="10" t="n"/>
      <c r="D63" s="10" t="n"/>
      <c r="E63" s="10" t="n"/>
      <c r="F63" s="10" t="n"/>
      <c r="G63" s="12">
        <f>IF(N(C63)=0,"",D63/C63)</f>
        <v/>
      </c>
      <c r="H63" s="12">
        <f>IF(N(D63)=0,"",E63/D63)</f>
        <v/>
      </c>
      <c r="I63" s="12">
        <f>IF(N(E63)=0,"",F63/E63)</f>
        <v/>
      </c>
      <c r="J63" s="10" t="n"/>
    </row>
    <row r="64">
      <c r="A64" s="11" t="n">
        <v>46312</v>
      </c>
      <c r="B64" s="2" t="inlineStr">
        <is>
          <t>n8n pack: Cleaning Lead-to-Booking</t>
        </is>
      </c>
      <c r="C64" s="10" t="n"/>
      <c r="D64" s="10" t="n"/>
      <c r="E64" s="10" t="n"/>
      <c r="F64" s="10" t="n"/>
      <c r="G64" s="12">
        <f>IF(N(C64)=0,"",D64/C64)</f>
        <v/>
      </c>
      <c r="H64" s="12">
        <f>IF(N(D64)=0,"",E64/D64)</f>
        <v/>
      </c>
      <c r="I64" s="12">
        <f>IF(N(E64)=0,"",F64/E64)</f>
        <v/>
      </c>
      <c r="J64" s="10" t="n"/>
    </row>
    <row r="65">
      <c r="A65" s="11" t="n">
        <v>46312</v>
      </c>
      <c r="B65" s="2" t="inlineStr">
        <is>
          <t>Other</t>
        </is>
      </c>
      <c r="C65" s="10" t="n"/>
      <c r="D65" s="10" t="n"/>
      <c r="E65" s="10" t="n"/>
      <c r="F65" s="10" t="n"/>
      <c r="G65" s="12">
        <f>IF(N(C65)=0,"",D65/C65)</f>
        <v/>
      </c>
      <c r="H65" s="12">
        <f>IF(N(D65)=0,"",E65/D65)</f>
        <v/>
      </c>
      <c r="I65" s="12">
        <f>IF(N(E65)=0,"",F65/E65)</f>
        <v/>
      </c>
      <c r="J65" s="10" t="n"/>
    </row>
    <row r="66">
      <c r="A66" s="11" t="n">
        <v>46313</v>
      </c>
      <c r="B66" s="2" t="inlineStr">
        <is>
          <t>Fiverr: n8n/Make/Zapier fix</t>
        </is>
      </c>
      <c r="C66" s="10" t="n"/>
      <c r="D66" s="10" t="n"/>
      <c r="E66" s="10" t="n"/>
      <c r="F66" s="10" t="n"/>
      <c r="G66" s="12">
        <f>IF(N(C66)=0,"",D66/C66)</f>
        <v/>
      </c>
      <c r="H66" s="12">
        <f>IF(N(D66)=0,"",E66/D66)</f>
        <v/>
      </c>
      <c r="I66" s="12">
        <f>IF(N(E66)=0,"",F66/E66)</f>
        <v/>
      </c>
      <c r="J66" s="10" t="n"/>
    </row>
    <row r="67">
      <c r="A67" s="11" t="n">
        <v>46313</v>
      </c>
      <c r="B67" s="2" t="inlineStr">
        <is>
          <t>Fiverr: Claude Code debugging</t>
        </is>
      </c>
      <c r="C67" s="10" t="n"/>
      <c r="D67" s="10" t="n"/>
      <c r="E67" s="10" t="n"/>
      <c r="F67" s="10" t="n"/>
      <c r="G67" s="12">
        <f>IF(N(C67)=0,"",D67/C67)</f>
        <v/>
      </c>
      <c r="H67" s="12">
        <f>IF(N(D67)=0,"",E67/D67)</f>
        <v/>
      </c>
      <c r="I67" s="12">
        <f>IF(N(E67)=0,"",F67/E67)</f>
        <v/>
      </c>
      <c r="J67" s="10" t="n"/>
    </row>
    <row r="68">
      <c r="A68" s="11" t="n">
        <v>46313</v>
      </c>
      <c r="B68" s="2" t="inlineStr">
        <is>
          <t>Fiverr: Stripe fix</t>
        </is>
      </c>
      <c r="C68" s="10" t="n"/>
      <c r="D68" s="10" t="n"/>
      <c r="E68" s="10" t="n"/>
      <c r="F68" s="10" t="n"/>
      <c r="G68" s="12">
        <f>IF(N(C68)=0,"",D68/C68)</f>
        <v/>
      </c>
      <c r="H68" s="12">
        <f>IF(N(D68)=0,"",E68/D68)</f>
        <v/>
      </c>
      <c r="I68" s="12">
        <f>IF(N(E68)=0,"",F68/E68)</f>
        <v/>
      </c>
      <c r="J68" s="10" t="n"/>
    </row>
    <row r="69">
      <c r="A69" s="11" t="n">
        <v>46313</v>
      </c>
      <c r="B69" s="2" t="inlineStr">
        <is>
          <t>Fiverr: Excel/CSV cleaning</t>
        </is>
      </c>
      <c r="C69" s="10" t="n"/>
      <c r="D69" s="10" t="n"/>
      <c r="E69" s="10" t="n"/>
      <c r="F69" s="10" t="n"/>
      <c r="G69" s="12">
        <f>IF(N(C69)=0,"",D69/C69)</f>
        <v/>
      </c>
      <c r="H69" s="12">
        <f>IF(N(D69)=0,"",E69/D69)</f>
        <v/>
      </c>
      <c r="I69" s="12">
        <f>IF(N(E69)=0,"",F69/E69)</f>
        <v/>
      </c>
      <c r="J69" s="10" t="n"/>
    </row>
    <row r="70">
      <c r="A70" s="11" t="n">
        <v>46313</v>
      </c>
      <c r="B70" s="2" t="inlineStr">
        <is>
          <t>Cleaning Quote Calculator</t>
        </is>
      </c>
      <c r="C70" s="10" t="n"/>
      <c r="D70" s="10" t="n"/>
      <c r="E70" s="10" t="n"/>
      <c r="F70" s="10" t="n"/>
      <c r="G70" s="12">
        <f>IF(N(C70)=0,"",D70/C70)</f>
        <v/>
      </c>
      <c r="H70" s="12">
        <f>IF(N(D70)=0,"",E70/D70)</f>
        <v/>
      </c>
      <c r="I70" s="12">
        <f>IF(N(E70)=0,"",F70/E70)</f>
        <v/>
      </c>
      <c r="J70" s="10" t="n"/>
    </row>
    <row r="71">
      <c r="A71" s="11" t="n">
        <v>46313</v>
      </c>
      <c r="B71" s="2" t="inlineStr">
        <is>
          <t>n8n pack: Agency Onboarding</t>
        </is>
      </c>
      <c r="C71" s="10" t="n"/>
      <c r="D71" s="10" t="n"/>
      <c r="E71" s="10" t="n"/>
      <c r="F71" s="10" t="n"/>
      <c r="G71" s="12">
        <f>IF(N(C71)=0,"",D71/C71)</f>
        <v/>
      </c>
      <c r="H71" s="12">
        <f>IF(N(D71)=0,"",E71/D71)</f>
        <v/>
      </c>
      <c r="I71" s="12">
        <f>IF(N(E71)=0,"",F71/E71)</f>
        <v/>
      </c>
      <c r="J71" s="10" t="n"/>
    </row>
    <row r="72">
      <c r="A72" s="11" t="n">
        <v>46313</v>
      </c>
      <c r="B72" s="2" t="inlineStr">
        <is>
          <t>n8n pack: Cleaning Lead-to-Booking</t>
        </is>
      </c>
      <c r="C72" s="10" t="n"/>
      <c r="D72" s="10" t="n"/>
      <c r="E72" s="10" t="n"/>
      <c r="F72" s="10" t="n"/>
      <c r="G72" s="12">
        <f>IF(N(C72)=0,"",D72/C72)</f>
        <v/>
      </c>
      <c r="H72" s="12">
        <f>IF(N(D72)=0,"",E72/D72)</f>
        <v/>
      </c>
      <c r="I72" s="12">
        <f>IF(N(E72)=0,"",F72/E72)</f>
        <v/>
      </c>
      <c r="J72" s="10" t="n"/>
    </row>
    <row r="73">
      <c r="A73" s="11" t="n">
        <v>46313</v>
      </c>
      <c r="B73" s="2" t="inlineStr">
        <is>
          <t>Other</t>
        </is>
      </c>
      <c r="C73" s="10" t="n"/>
      <c r="D73" s="10" t="n"/>
      <c r="E73" s="10" t="n"/>
      <c r="F73" s="10" t="n"/>
      <c r="G73" s="12">
        <f>IF(N(C73)=0,"",D73/C73)</f>
        <v/>
      </c>
      <c r="H73" s="12">
        <f>IF(N(D73)=0,"",E73/D73)</f>
        <v/>
      </c>
      <c r="I73" s="12">
        <f>IF(N(E73)=0,"",F73/E73)</f>
        <v/>
      </c>
      <c r="J73" s="10" t="n"/>
    </row>
    <row r="74">
      <c r="A74" s="11" t="n">
        <v>46314</v>
      </c>
      <c r="B74" s="2" t="inlineStr">
        <is>
          <t>Fiverr: n8n/Make/Zapier fix</t>
        </is>
      </c>
      <c r="C74" s="10" t="n"/>
      <c r="D74" s="10" t="n"/>
      <c r="E74" s="10" t="n"/>
      <c r="F74" s="10" t="n"/>
      <c r="G74" s="12">
        <f>IF(N(C74)=0,"",D74/C74)</f>
        <v/>
      </c>
      <c r="H74" s="12">
        <f>IF(N(D74)=0,"",E74/D74)</f>
        <v/>
      </c>
      <c r="I74" s="12">
        <f>IF(N(E74)=0,"",F74/E74)</f>
        <v/>
      </c>
      <c r="J74" s="10" t="n"/>
    </row>
    <row r="75">
      <c r="A75" s="11" t="n">
        <v>46314</v>
      </c>
      <c r="B75" s="2" t="inlineStr">
        <is>
          <t>Fiverr: Claude Code debugging</t>
        </is>
      </c>
      <c r="C75" s="10" t="n"/>
      <c r="D75" s="10" t="n"/>
      <c r="E75" s="10" t="n"/>
      <c r="F75" s="10" t="n"/>
      <c r="G75" s="12">
        <f>IF(N(C75)=0,"",D75/C75)</f>
        <v/>
      </c>
      <c r="H75" s="12">
        <f>IF(N(D75)=0,"",E75/D75)</f>
        <v/>
      </c>
      <c r="I75" s="12">
        <f>IF(N(E75)=0,"",F75/E75)</f>
        <v/>
      </c>
      <c r="J75" s="10" t="n"/>
    </row>
    <row r="76">
      <c r="A76" s="11" t="n">
        <v>46314</v>
      </c>
      <c r="B76" s="2" t="inlineStr">
        <is>
          <t>Fiverr: Stripe fix</t>
        </is>
      </c>
      <c r="C76" s="10" t="n"/>
      <c r="D76" s="10" t="n"/>
      <c r="E76" s="10" t="n"/>
      <c r="F76" s="10" t="n"/>
      <c r="G76" s="12">
        <f>IF(N(C76)=0,"",D76/C76)</f>
        <v/>
      </c>
      <c r="H76" s="12">
        <f>IF(N(D76)=0,"",E76/D76)</f>
        <v/>
      </c>
      <c r="I76" s="12">
        <f>IF(N(E76)=0,"",F76/E76)</f>
        <v/>
      </c>
      <c r="J76" s="10" t="n"/>
    </row>
    <row r="77">
      <c r="A77" s="11" t="n">
        <v>46314</v>
      </c>
      <c r="B77" s="2" t="inlineStr">
        <is>
          <t>Fiverr: Excel/CSV cleaning</t>
        </is>
      </c>
      <c r="C77" s="10" t="n"/>
      <c r="D77" s="10" t="n"/>
      <c r="E77" s="10" t="n"/>
      <c r="F77" s="10" t="n"/>
      <c r="G77" s="12">
        <f>IF(N(C77)=0,"",D77/C77)</f>
        <v/>
      </c>
      <c r="H77" s="12">
        <f>IF(N(D77)=0,"",E77/D77)</f>
        <v/>
      </c>
      <c r="I77" s="12">
        <f>IF(N(E77)=0,"",F77/E77)</f>
        <v/>
      </c>
      <c r="J77" s="10" t="n"/>
    </row>
    <row r="78">
      <c r="A78" s="11" t="n">
        <v>46314</v>
      </c>
      <c r="B78" s="2" t="inlineStr">
        <is>
          <t>Cleaning Quote Calculator</t>
        </is>
      </c>
      <c r="C78" s="10" t="n"/>
      <c r="D78" s="10" t="n"/>
      <c r="E78" s="10" t="n"/>
      <c r="F78" s="10" t="n"/>
      <c r="G78" s="12">
        <f>IF(N(C78)=0,"",D78/C78)</f>
        <v/>
      </c>
      <c r="H78" s="12">
        <f>IF(N(D78)=0,"",E78/D78)</f>
        <v/>
      </c>
      <c r="I78" s="12">
        <f>IF(N(E78)=0,"",F78/E78)</f>
        <v/>
      </c>
      <c r="J78" s="10" t="n"/>
    </row>
    <row r="79">
      <c r="A79" s="11" t="n">
        <v>46314</v>
      </c>
      <c r="B79" s="2" t="inlineStr">
        <is>
          <t>n8n pack: Agency Onboarding</t>
        </is>
      </c>
      <c r="C79" s="10" t="n"/>
      <c r="D79" s="10" t="n"/>
      <c r="E79" s="10" t="n"/>
      <c r="F79" s="10" t="n"/>
      <c r="G79" s="12">
        <f>IF(N(C79)=0,"",D79/C79)</f>
        <v/>
      </c>
      <c r="H79" s="12">
        <f>IF(N(D79)=0,"",E79/D79)</f>
        <v/>
      </c>
      <c r="I79" s="12">
        <f>IF(N(E79)=0,"",F79/E79)</f>
        <v/>
      </c>
      <c r="J79" s="10" t="n"/>
    </row>
    <row r="80">
      <c r="A80" s="11" t="n">
        <v>46314</v>
      </c>
      <c r="B80" s="2" t="inlineStr">
        <is>
          <t>n8n pack: Cleaning Lead-to-Booking</t>
        </is>
      </c>
      <c r="C80" s="10" t="n"/>
      <c r="D80" s="10" t="n"/>
      <c r="E80" s="10" t="n"/>
      <c r="F80" s="10" t="n"/>
      <c r="G80" s="12">
        <f>IF(N(C80)=0,"",D80/C80)</f>
        <v/>
      </c>
      <c r="H80" s="12">
        <f>IF(N(D80)=0,"",E80/D80)</f>
        <v/>
      </c>
      <c r="I80" s="12">
        <f>IF(N(E80)=0,"",F80/E80)</f>
        <v/>
      </c>
      <c r="J80" s="10" t="n"/>
    </row>
    <row r="81">
      <c r="A81" s="11" t="n">
        <v>46314</v>
      </c>
      <c r="B81" s="2" t="inlineStr">
        <is>
          <t>Other</t>
        </is>
      </c>
      <c r="C81" s="10" t="n"/>
      <c r="D81" s="10" t="n"/>
      <c r="E81" s="10" t="n"/>
      <c r="F81" s="10" t="n"/>
      <c r="G81" s="12">
        <f>IF(N(C81)=0,"",D81/C81)</f>
        <v/>
      </c>
      <c r="H81" s="12">
        <f>IF(N(D81)=0,"",E81/D81)</f>
        <v/>
      </c>
      <c r="I81" s="12">
        <f>IF(N(E81)=0,"",F81/E81)</f>
        <v/>
      </c>
      <c r="J81" s="10" t="n"/>
    </row>
    <row r="82">
      <c r="A82" s="11" t="n">
        <v>46315</v>
      </c>
      <c r="B82" s="2" t="inlineStr">
        <is>
          <t>Fiverr: n8n/Make/Zapier fix</t>
        </is>
      </c>
      <c r="C82" s="10" t="n"/>
      <c r="D82" s="10" t="n"/>
      <c r="E82" s="10" t="n"/>
      <c r="F82" s="10" t="n"/>
      <c r="G82" s="12">
        <f>IF(N(C82)=0,"",D82/C82)</f>
        <v/>
      </c>
      <c r="H82" s="12">
        <f>IF(N(D82)=0,"",E82/D82)</f>
        <v/>
      </c>
      <c r="I82" s="12">
        <f>IF(N(E82)=0,"",F82/E82)</f>
        <v/>
      </c>
      <c r="J82" s="10" t="n"/>
    </row>
    <row r="83">
      <c r="A83" s="11" t="n">
        <v>46315</v>
      </c>
      <c r="B83" s="2" t="inlineStr">
        <is>
          <t>Fiverr: Claude Code debugging</t>
        </is>
      </c>
      <c r="C83" s="10" t="n"/>
      <c r="D83" s="10" t="n"/>
      <c r="E83" s="10" t="n"/>
      <c r="F83" s="10" t="n"/>
      <c r="G83" s="12">
        <f>IF(N(C83)=0,"",D83/C83)</f>
        <v/>
      </c>
      <c r="H83" s="12">
        <f>IF(N(D83)=0,"",E83/D83)</f>
        <v/>
      </c>
      <c r="I83" s="12">
        <f>IF(N(E83)=0,"",F83/E83)</f>
        <v/>
      </c>
      <c r="J83" s="10" t="n"/>
    </row>
    <row r="84">
      <c r="A84" s="11" t="n">
        <v>46315</v>
      </c>
      <c r="B84" s="2" t="inlineStr">
        <is>
          <t>Fiverr: Stripe fix</t>
        </is>
      </c>
      <c r="C84" s="10" t="n"/>
      <c r="D84" s="10" t="n"/>
      <c r="E84" s="10" t="n"/>
      <c r="F84" s="10" t="n"/>
      <c r="G84" s="12">
        <f>IF(N(C84)=0,"",D84/C84)</f>
        <v/>
      </c>
      <c r="H84" s="12">
        <f>IF(N(D84)=0,"",E84/D84)</f>
        <v/>
      </c>
      <c r="I84" s="12">
        <f>IF(N(E84)=0,"",F84/E84)</f>
        <v/>
      </c>
      <c r="J84" s="10" t="n"/>
    </row>
    <row r="85">
      <c r="A85" s="11" t="n">
        <v>46315</v>
      </c>
      <c r="B85" s="2" t="inlineStr">
        <is>
          <t>Fiverr: Excel/CSV cleaning</t>
        </is>
      </c>
      <c r="C85" s="10" t="n"/>
      <c r="D85" s="10" t="n"/>
      <c r="E85" s="10" t="n"/>
      <c r="F85" s="10" t="n"/>
      <c r="G85" s="12">
        <f>IF(N(C85)=0,"",D85/C85)</f>
        <v/>
      </c>
      <c r="H85" s="12">
        <f>IF(N(D85)=0,"",E85/D85)</f>
        <v/>
      </c>
      <c r="I85" s="12">
        <f>IF(N(E85)=0,"",F85/E85)</f>
        <v/>
      </c>
      <c r="J85" s="10" t="n"/>
    </row>
    <row r="86">
      <c r="A86" s="11" t="n">
        <v>46315</v>
      </c>
      <c r="B86" s="2" t="inlineStr">
        <is>
          <t>Cleaning Quote Calculator</t>
        </is>
      </c>
      <c r="C86" s="10" t="n"/>
      <c r="D86" s="10" t="n"/>
      <c r="E86" s="10" t="n"/>
      <c r="F86" s="10" t="n"/>
      <c r="G86" s="12">
        <f>IF(N(C86)=0,"",D86/C86)</f>
        <v/>
      </c>
      <c r="H86" s="12">
        <f>IF(N(D86)=0,"",E86/D86)</f>
        <v/>
      </c>
      <c r="I86" s="12">
        <f>IF(N(E86)=0,"",F86/E86)</f>
        <v/>
      </c>
      <c r="J86" s="10" t="n"/>
    </row>
    <row r="87">
      <c r="A87" s="11" t="n">
        <v>46315</v>
      </c>
      <c r="B87" s="2" t="inlineStr">
        <is>
          <t>n8n pack: Agency Onboarding</t>
        </is>
      </c>
      <c r="C87" s="10" t="n"/>
      <c r="D87" s="10" t="n"/>
      <c r="E87" s="10" t="n"/>
      <c r="F87" s="10" t="n"/>
      <c r="G87" s="12">
        <f>IF(N(C87)=0,"",D87/C87)</f>
        <v/>
      </c>
      <c r="H87" s="12">
        <f>IF(N(D87)=0,"",E87/D87)</f>
        <v/>
      </c>
      <c r="I87" s="12">
        <f>IF(N(E87)=0,"",F87/E87)</f>
        <v/>
      </c>
      <c r="J87" s="10" t="n"/>
    </row>
    <row r="88">
      <c r="A88" s="11" t="n">
        <v>46315</v>
      </c>
      <c r="B88" s="2" t="inlineStr">
        <is>
          <t>n8n pack: Cleaning Lead-to-Booking</t>
        </is>
      </c>
      <c r="C88" s="10" t="n"/>
      <c r="D88" s="10" t="n"/>
      <c r="E88" s="10" t="n"/>
      <c r="F88" s="10" t="n"/>
      <c r="G88" s="12">
        <f>IF(N(C88)=0,"",D88/C88)</f>
        <v/>
      </c>
      <c r="H88" s="12">
        <f>IF(N(D88)=0,"",E88/D88)</f>
        <v/>
      </c>
      <c r="I88" s="12">
        <f>IF(N(E88)=0,"",F88/E88)</f>
        <v/>
      </c>
      <c r="J88" s="10" t="n"/>
    </row>
    <row r="89">
      <c r="A89" s="11" t="n">
        <v>46315</v>
      </c>
      <c r="B89" s="2" t="inlineStr">
        <is>
          <t>Other</t>
        </is>
      </c>
      <c r="C89" s="10" t="n"/>
      <c r="D89" s="10" t="n"/>
      <c r="E89" s="10" t="n"/>
      <c r="F89" s="10" t="n"/>
      <c r="G89" s="12">
        <f>IF(N(C89)=0,"",D89/C89)</f>
        <v/>
      </c>
      <c r="H89" s="12">
        <f>IF(N(D89)=0,"",E89/D89)</f>
        <v/>
      </c>
      <c r="I89" s="12">
        <f>IF(N(E89)=0,"",F89/E89)</f>
        <v/>
      </c>
      <c r="J89" s="10" t="n"/>
    </row>
    <row r="90">
      <c r="A90" s="11" t="n">
        <v>46316</v>
      </c>
      <c r="B90" s="2" t="inlineStr">
        <is>
          <t>Fiverr: n8n/Make/Zapier fix</t>
        </is>
      </c>
      <c r="C90" s="10" t="n"/>
      <c r="D90" s="10" t="n"/>
      <c r="E90" s="10" t="n"/>
      <c r="F90" s="10" t="n"/>
      <c r="G90" s="12">
        <f>IF(N(C90)=0,"",D90/C90)</f>
        <v/>
      </c>
      <c r="H90" s="12">
        <f>IF(N(D90)=0,"",E90/D90)</f>
        <v/>
      </c>
      <c r="I90" s="12">
        <f>IF(N(E90)=0,"",F90/E90)</f>
        <v/>
      </c>
      <c r="J90" s="10" t="n"/>
    </row>
    <row r="91">
      <c r="A91" s="11" t="n">
        <v>46316</v>
      </c>
      <c r="B91" s="2" t="inlineStr">
        <is>
          <t>Fiverr: Claude Code debugging</t>
        </is>
      </c>
      <c r="C91" s="10" t="n"/>
      <c r="D91" s="10" t="n"/>
      <c r="E91" s="10" t="n"/>
      <c r="F91" s="10" t="n"/>
      <c r="G91" s="12">
        <f>IF(N(C91)=0,"",D91/C91)</f>
        <v/>
      </c>
      <c r="H91" s="12">
        <f>IF(N(D91)=0,"",E91/D91)</f>
        <v/>
      </c>
      <c r="I91" s="12">
        <f>IF(N(E91)=0,"",F91/E91)</f>
        <v/>
      </c>
      <c r="J91" s="10" t="n"/>
    </row>
    <row r="92">
      <c r="A92" s="11" t="n">
        <v>46316</v>
      </c>
      <c r="B92" s="2" t="inlineStr">
        <is>
          <t>Fiverr: Stripe fix</t>
        </is>
      </c>
      <c r="C92" s="10" t="n"/>
      <c r="D92" s="10" t="n"/>
      <c r="E92" s="10" t="n"/>
      <c r="F92" s="10" t="n"/>
      <c r="G92" s="12">
        <f>IF(N(C92)=0,"",D92/C92)</f>
        <v/>
      </c>
      <c r="H92" s="12">
        <f>IF(N(D92)=0,"",E92/D92)</f>
        <v/>
      </c>
      <c r="I92" s="12">
        <f>IF(N(E92)=0,"",F92/E92)</f>
        <v/>
      </c>
      <c r="J92" s="10" t="n"/>
    </row>
    <row r="93">
      <c r="A93" s="11" t="n">
        <v>46316</v>
      </c>
      <c r="B93" s="2" t="inlineStr">
        <is>
          <t>Fiverr: Excel/CSV cleaning</t>
        </is>
      </c>
      <c r="C93" s="10" t="n"/>
      <c r="D93" s="10" t="n"/>
      <c r="E93" s="10" t="n"/>
      <c r="F93" s="10" t="n"/>
      <c r="G93" s="12">
        <f>IF(N(C93)=0,"",D93/C93)</f>
        <v/>
      </c>
      <c r="H93" s="12">
        <f>IF(N(D93)=0,"",E93/D93)</f>
        <v/>
      </c>
      <c r="I93" s="12">
        <f>IF(N(E93)=0,"",F93/E93)</f>
        <v/>
      </c>
      <c r="J93" s="10" t="n"/>
    </row>
    <row r="94">
      <c r="A94" s="11" t="n">
        <v>46316</v>
      </c>
      <c r="B94" s="2" t="inlineStr">
        <is>
          <t>Cleaning Quote Calculator</t>
        </is>
      </c>
      <c r="C94" s="10" t="n"/>
      <c r="D94" s="10" t="n"/>
      <c r="E94" s="10" t="n"/>
      <c r="F94" s="10" t="n"/>
      <c r="G94" s="12">
        <f>IF(N(C94)=0,"",D94/C94)</f>
        <v/>
      </c>
      <c r="H94" s="12">
        <f>IF(N(D94)=0,"",E94/D94)</f>
        <v/>
      </c>
      <c r="I94" s="12">
        <f>IF(N(E94)=0,"",F94/E94)</f>
        <v/>
      </c>
      <c r="J94" s="10" t="n"/>
    </row>
    <row r="95">
      <c r="A95" s="11" t="n">
        <v>46316</v>
      </c>
      <c r="B95" s="2" t="inlineStr">
        <is>
          <t>n8n pack: Agency Onboarding</t>
        </is>
      </c>
      <c r="C95" s="10" t="n"/>
      <c r="D95" s="10" t="n"/>
      <c r="E95" s="10" t="n"/>
      <c r="F95" s="10" t="n"/>
      <c r="G95" s="12">
        <f>IF(N(C95)=0,"",D95/C95)</f>
        <v/>
      </c>
      <c r="H95" s="12">
        <f>IF(N(D95)=0,"",E95/D95)</f>
        <v/>
      </c>
      <c r="I95" s="12">
        <f>IF(N(E95)=0,"",F95/E95)</f>
        <v/>
      </c>
      <c r="J95" s="10" t="n"/>
    </row>
    <row r="96">
      <c r="A96" s="11" t="n">
        <v>46316</v>
      </c>
      <c r="B96" s="2" t="inlineStr">
        <is>
          <t>n8n pack: Cleaning Lead-to-Booking</t>
        </is>
      </c>
      <c r="C96" s="10" t="n"/>
      <c r="D96" s="10" t="n"/>
      <c r="E96" s="10" t="n"/>
      <c r="F96" s="10" t="n"/>
      <c r="G96" s="12">
        <f>IF(N(C96)=0,"",D96/C96)</f>
        <v/>
      </c>
      <c r="H96" s="12">
        <f>IF(N(D96)=0,"",E96/D96)</f>
        <v/>
      </c>
      <c r="I96" s="12">
        <f>IF(N(E96)=0,"",F96/E96)</f>
        <v/>
      </c>
      <c r="J96" s="10" t="n"/>
    </row>
    <row r="97">
      <c r="A97" s="11" t="n">
        <v>46316</v>
      </c>
      <c r="B97" s="2" t="inlineStr">
        <is>
          <t>Other</t>
        </is>
      </c>
      <c r="C97" s="10" t="n"/>
      <c r="D97" s="10" t="n"/>
      <c r="E97" s="10" t="n"/>
      <c r="F97" s="10" t="n"/>
      <c r="G97" s="12">
        <f>IF(N(C97)=0,"",D97/C97)</f>
        <v/>
      </c>
      <c r="H97" s="12">
        <f>IF(N(D97)=0,"",E97/D97)</f>
        <v/>
      </c>
      <c r="I97" s="12">
        <f>IF(N(E97)=0,"",F97/E97)</f>
        <v/>
      </c>
      <c r="J97" s="10" t="n"/>
    </row>
    <row r="98">
      <c r="A98" s="11" t="n">
        <v>46317</v>
      </c>
      <c r="B98" s="2" t="inlineStr">
        <is>
          <t>Fiverr: n8n/Make/Zapier fix</t>
        </is>
      </c>
      <c r="C98" s="10" t="n"/>
      <c r="D98" s="10" t="n"/>
      <c r="E98" s="10" t="n"/>
      <c r="F98" s="10" t="n"/>
      <c r="G98" s="12">
        <f>IF(N(C98)=0,"",D98/C98)</f>
        <v/>
      </c>
      <c r="H98" s="12">
        <f>IF(N(D98)=0,"",E98/D98)</f>
        <v/>
      </c>
      <c r="I98" s="12">
        <f>IF(N(E98)=0,"",F98/E98)</f>
        <v/>
      </c>
      <c r="J98" s="10" t="n"/>
    </row>
    <row r="99">
      <c r="A99" s="11" t="n">
        <v>46317</v>
      </c>
      <c r="B99" s="2" t="inlineStr">
        <is>
          <t>Fiverr: Claude Code debugging</t>
        </is>
      </c>
      <c r="C99" s="10" t="n"/>
      <c r="D99" s="10" t="n"/>
      <c r="E99" s="10" t="n"/>
      <c r="F99" s="10" t="n"/>
      <c r="G99" s="12">
        <f>IF(N(C99)=0,"",D99/C99)</f>
        <v/>
      </c>
      <c r="H99" s="12">
        <f>IF(N(D99)=0,"",E99/D99)</f>
        <v/>
      </c>
      <c r="I99" s="12">
        <f>IF(N(E99)=0,"",F99/E99)</f>
        <v/>
      </c>
      <c r="J99" s="10" t="n"/>
    </row>
    <row r="100">
      <c r="A100" s="11" t="n">
        <v>46317</v>
      </c>
      <c r="B100" s="2" t="inlineStr">
        <is>
          <t>Fiverr: Stripe fix</t>
        </is>
      </c>
      <c r="C100" s="10" t="n"/>
      <c r="D100" s="10" t="n"/>
      <c r="E100" s="10" t="n"/>
      <c r="F100" s="10" t="n"/>
      <c r="G100" s="12">
        <f>IF(N(C100)=0,"",D100/C100)</f>
        <v/>
      </c>
      <c r="H100" s="12">
        <f>IF(N(D100)=0,"",E100/D100)</f>
        <v/>
      </c>
      <c r="I100" s="12">
        <f>IF(N(E100)=0,"",F100/E100)</f>
        <v/>
      </c>
      <c r="J100" s="10" t="n"/>
    </row>
    <row r="101">
      <c r="A101" s="11" t="n">
        <v>46317</v>
      </c>
      <c r="B101" s="2" t="inlineStr">
        <is>
          <t>Fiverr: Excel/CSV cleaning</t>
        </is>
      </c>
      <c r="C101" s="10" t="n"/>
      <c r="D101" s="10" t="n"/>
      <c r="E101" s="10" t="n"/>
      <c r="F101" s="10" t="n"/>
      <c r="G101" s="12">
        <f>IF(N(C101)=0,"",D101/C101)</f>
        <v/>
      </c>
      <c r="H101" s="12">
        <f>IF(N(D101)=0,"",E101/D101)</f>
        <v/>
      </c>
      <c r="I101" s="12">
        <f>IF(N(E101)=0,"",F101/E101)</f>
        <v/>
      </c>
      <c r="J101" s="10" t="n"/>
    </row>
    <row r="102">
      <c r="A102" s="11" t="n">
        <v>46317</v>
      </c>
      <c r="B102" s="2" t="inlineStr">
        <is>
          <t>Cleaning Quote Calculator</t>
        </is>
      </c>
      <c r="C102" s="10" t="n"/>
      <c r="D102" s="10" t="n"/>
      <c r="E102" s="10" t="n"/>
      <c r="F102" s="10" t="n"/>
      <c r="G102" s="12">
        <f>IF(N(C102)=0,"",D102/C102)</f>
        <v/>
      </c>
      <c r="H102" s="12">
        <f>IF(N(D102)=0,"",E102/D102)</f>
        <v/>
      </c>
      <c r="I102" s="12">
        <f>IF(N(E102)=0,"",F102/E102)</f>
        <v/>
      </c>
      <c r="J102" s="10" t="n"/>
    </row>
    <row r="103">
      <c r="A103" s="11" t="n">
        <v>46317</v>
      </c>
      <c r="B103" s="2" t="inlineStr">
        <is>
          <t>n8n pack: Agency Onboarding</t>
        </is>
      </c>
      <c r="C103" s="10" t="n"/>
      <c r="D103" s="10" t="n"/>
      <c r="E103" s="10" t="n"/>
      <c r="F103" s="10" t="n"/>
      <c r="G103" s="12">
        <f>IF(N(C103)=0,"",D103/C103)</f>
        <v/>
      </c>
      <c r="H103" s="12">
        <f>IF(N(D103)=0,"",E103/D103)</f>
        <v/>
      </c>
      <c r="I103" s="12">
        <f>IF(N(E103)=0,"",F103/E103)</f>
        <v/>
      </c>
      <c r="J103" s="10" t="n"/>
    </row>
    <row r="104">
      <c r="A104" s="11" t="n">
        <v>46317</v>
      </c>
      <c r="B104" s="2" t="inlineStr">
        <is>
          <t>n8n pack: Cleaning Lead-to-Booking</t>
        </is>
      </c>
      <c r="C104" s="10" t="n"/>
      <c r="D104" s="10" t="n"/>
      <c r="E104" s="10" t="n"/>
      <c r="F104" s="10" t="n"/>
      <c r="G104" s="12">
        <f>IF(N(C104)=0,"",D104/C104)</f>
        <v/>
      </c>
      <c r="H104" s="12">
        <f>IF(N(D104)=0,"",E104/D104)</f>
        <v/>
      </c>
      <c r="I104" s="12">
        <f>IF(N(E104)=0,"",F104/E104)</f>
        <v/>
      </c>
      <c r="J104" s="10" t="n"/>
    </row>
    <row r="105">
      <c r="A105" s="11" t="n">
        <v>46317</v>
      </c>
      <c r="B105" s="2" t="inlineStr">
        <is>
          <t>Other</t>
        </is>
      </c>
      <c r="C105" s="10" t="n"/>
      <c r="D105" s="10" t="n"/>
      <c r="E105" s="10" t="n"/>
      <c r="F105" s="10" t="n"/>
      <c r="G105" s="12">
        <f>IF(N(C105)=0,"",D105/C105)</f>
        <v/>
      </c>
      <c r="H105" s="12">
        <f>IF(N(D105)=0,"",E105/D105)</f>
        <v/>
      </c>
      <c r="I105" s="12">
        <f>IF(N(E105)=0,"",F105/E105)</f>
        <v/>
      </c>
      <c r="J105" s="10" t="n"/>
    </row>
    <row r="106">
      <c r="A106" s="11" t="n">
        <v>46318</v>
      </c>
      <c r="B106" s="2" t="inlineStr">
        <is>
          <t>Fiverr: n8n/Make/Zapier fix</t>
        </is>
      </c>
      <c r="C106" s="10" t="n"/>
      <c r="D106" s="10" t="n"/>
      <c r="E106" s="10" t="n"/>
      <c r="F106" s="10" t="n"/>
      <c r="G106" s="12">
        <f>IF(N(C106)=0,"",D106/C106)</f>
        <v/>
      </c>
      <c r="H106" s="12">
        <f>IF(N(D106)=0,"",E106/D106)</f>
        <v/>
      </c>
      <c r="I106" s="12">
        <f>IF(N(E106)=0,"",F106/E106)</f>
        <v/>
      </c>
      <c r="J106" s="10" t="n"/>
    </row>
    <row r="107">
      <c r="A107" s="11" t="n">
        <v>46318</v>
      </c>
      <c r="B107" s="2" t="inlineStr">
        <is>
          <t>Fiverr: Claude Code debugging</t>
        </is>
      </c>
      <c r="C107" s="10" t="n"/>
      <c r="D107" s="10" t="n"/>
      <c r="E107" s="10" t="n"/>
      <c r="F107" s="10" t="n"/>
      <c r="G107" s="12">
        <f>IF(N(C107)=0,"",D107/C107)</f>
        <v/>
      </c>
      <c r="H107" s="12">
        <f>IF(N(D107)=0,"",E107/D107)</f>
        <v/>
      </c>
      <c r="I107" s="12">
        <f>IF(N(E107)=0,"",F107/E107)</f>
        <v/>
      </c>
      <c r="J107" s="10" t="n"/>
    </row>
    <row r="108">
      <c r="A108" s="11" t="n">
        <v>46318</v>
      </c>
      <c r="B108" s="2" t="inlineStr">
        <is>
          <t>Fiverr: Stripe fix</t>
        </is>
      </c>
      <c r="C108" s="10" t="n"/>
      <c r="D108" s="10" t="n"/>
      <c r="E108" s="10" t="n"/>
      <c r="F108" s="10" t="n"/>
      <c r="G108" s="12">
        <f>IF(N(C108)=0,"",D108/C108)</f>
        <v/>
      </c>
      <c r="H108" s="12">
        <f>IF(N(D108)=0,"",E108/D108)</f>
        <v/>
      </c>
      <c r="I108" s="12">
        <f>IF(N(E108)=0,"",F108/E108)</f>
        <v/>
      </c>
      <c r="J108" s="10" t="n"/>
    </row>
    <row r="109">
      <c r="A109" s="11" t="n">
        <v>46318</v>
      </c>
      <c r="B109" s="2" t="inlineStr">
        <is>
          <t>Fiverr: Excel/CSV cleaning</t>
        </is>
      </c>
      <c r="C109" s="10" t="n"/>
      <c r="D109" s="10" t="n"/>
      <c r="E109" s="10" t="n"/>
      <c r="F109" s="10" t="n"/>
      <c r="G109" s="12">
        <f>IF(N(C109)=0,"",D109/C109)</f>
        <v/>
      </c>
      <c r="H109" s="12">
        <f>IF(N(D109)=0,"",E109/D109)</f>
        <v/>
      </c>
      <c r="I109" s="12">
        <f>IF(N(E109)=0,"",F109/E109)</f>
        <v/>
      </c>
      <c r="J109" s="10" t="n"/>
    </row>
    <row r="110">
      <c r="A110" s="11" t="n">
        <v>46318</v>
      </c>
      <c r="B110" s="2" t="inlineStr">
        <is>
          <t>Cleaning Quote Calculator</t>
        </is>
      </c>
      <c r="C110" s="10" t="n"/>
      <c r="D110" s="10" t="n"/>
      <c r="E110" s="10" t="n"/>
      <c r="F110" s="10" t="n"/>
      <c r="G110" s="12">
        <f>IF(N(C110)=0,"",D110/C110)</f>
        <v/>
      </c>
      <c r="H110" s="12">
        <f>IF(N(D110)=0,"",E110/D110)</f>
        <v/>
      </c>
      <c r="I110" s="12">
        <f>IF(N(E110)=0,"",F110/E110)</f>
        <v/>
      </c>
      <c r="J110" s="10" t="n"/>
    </row>
    <row r="111">
      <c r="A111" s="11" t="n">
        <v>46318</v>
      </c>
      <c r="B111" s="2" t="inlineStr">
        <is>
          <t>n8n pack: Agency Onboarding</t>
        </is>
      </c>
      <c r="C111" s="10" t="n"/>
      <c r="D111" s="10" t="n"/>
      <c r="E111" s="10" t="n"/>
      <c r="F111" s="10" t="n"/>
      <c r="G111" s="12">
        <f>IF(N(C111)=0,"",D111/C111)</f>
        <v/>
      </c>
      <c r="H111" s="12">
        <f>IF(N(D111)=0,"",E111/D111)</f>
        <v/>
      </c>
      <c r="I111" s="12">
        <f>IF(N(E111)=0,"",F111/E111)</f>
        <v/>
      </c>
      <c r="J111" s="10" t="n"/>
    </row>
    <row r="112">
      <c r="A112" s="11" t="n">
        <v>46318</v>
      </c>
      <c r="B112" s="2" t="inlineStr">
        <is>
          <t>n8n pack: Cleaning Lead-to-Booking</t>
        </is>
      </c>
      <c r="C112" s="10" t="n"/>
      <c r="D112" s="10" t="n"/>
      <c r="E112" s="10" t="n"/>
      <c r="F112" s="10" t="n"/>
      <c r="G112" s="12">
        <f>IF(N(C112)=0,"",D112/C112)</f>
        <v/>
      </c>
      <c r="H112" s="12">
        <f>IF(N(D112)=0,"",E112/D112)</f>
        <v/>
      </c>
      <c r="I112" s="12">
        <f>IF(N(E112)=0,"",F112/E112)</f>
        <v/>
      </c>
      <c r="J112" s="10" t="n"/>
    </row>
    <row r="113">
      <c r="A113" s="11" t="n">
        <v>46318</v>
      </c>
      <c r="B113" s="2" t="inlineStr">
        <is>
          <t>Other</t>
        </is>
      </c>
      <c r="C113" s="10" t="n"/>
      <c r="D113" s="10" t="n"/>
      <c r="E113" s="10" t="n"/>
      <c r="F113" s="10" t="n"/>
      <c r="G113" s="12">
        <f>IF(N(C113)=0,"",D113/C113)</f>
        <v/>
      </c>
      <c r="H113" s="12">
        <f>IF(N(D113)=0,"",E113/D113)</f>
        <v/>
      </c>
      <c r="I113" s="12">
        <f>IF(N(E113)=0,"",F113/E113)</f>
        <v/>
      </c>
      <c r="J113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10" customWidth="1" min="4" max="4"/>
    <col width="14" customWidth="1" min="5" max="5"/>
    <col width="13" customWidth="1" min="6" max="6"/>
    <col width="13" customWidth="1" min="7" max="7"/>
    <col width="8" customWidth="1" min="8" max="8"/>
    <col width="11" customWidth="1" min="9" max="9"/>
    <col width="40" customWidth="1" min="10" max="10"/>
  </cols>
  <sheetData>
    <row r="1" ht="42" customHeight="1">
      <c r="A1" s="9" t="inlineStr">
        <is>
          <t>Offer</t>
        </is>
      </c>
      <c r="B1" s="9" t="inlineStr">
        <is>
          <t>Impressions</t>
        </is>
      </c>
      <c r="C1" s="9" t="inlineStr">
        <is>
          <t>Clicks</t>
        </is>
      </c>
      <c r="D1" s="9" t="inlineStr">
        <is>
          <t>Inquiries</t>
        </is>
      </c>
      <c r="E1" s="9" t="inlineStr">
        <is>
          <t>Orders (logged)</t>
        </is>
      </c>
      <c r="F1" s="9" t="inlineStr">
        <is>
          <t>Gross sales</t>
        </is>
      </c>
      <c r="G1" s="9" t="inlineStr">
        <is>
          <t>Net received</t>
        </is>
      </c>
      <c r="H1" s="9" t="inlineStr">
        <is>
          <t>Hours</t>
        </is>
      </c>
      <c r="I1" s="9" t="inlineStr">
        <is>
          <t>Net $/hour</t>
        </is>
      </c>
      <c r="J1" s="9" t="inlineStr">
        <is>
          <t>Verdict</t>
        </is>
      </c>
    </row>
    <row r="2">
      <c r="A2" s="2" t="inlineStr">
        <is>
          <t>Fiverr: n8n/Make/Zapier fix</t>
        </is>
      </c>
      <c r="B2" s="2">
        <f>SUMIFS('Daily Metrics'!$C:$C,'Daily Metrics'!$B:$B,$A2)</f>
        <v/>
      </c>
      <c r="C2" s="2">
        <f>SUMIFS('Daily Metrics'!$D:$D,'Daily Metrics'!$B:$B,$A2)</f>
        <v/>
      </c>
      <c r="D2" s="2">
        <f>SUMIFS('Daily Metrics'!$E:$E,'Daily Metrics'!$B:$B,$A2)</f>
        <v/>
      </c>
      <c r="E2" s="2">
        <f>COUNTIFS(Orders!$B:$B,$A2,Orders!$E:$E,"&gt;0")</f>
        <v/>
      </c>
      <c r="F2" s="13">
        <f>SUMIFS(Orders!$E:$E,Orders!$B:$B,$A2)</f>
        <v/>
      </c>
      <c r="G2" s="13">
        <f>SUMIFS(Orders!$K:$K,Orders!$B:$B,$A2)</f>
        <v/>
      </c>
      <c r="H2" s="2">
        <f>SUMIFS(Orders!$H:$H,Orders!$B:$B,$A2)</f>
        <v/>
      </c>
      <c r="I2" s="13">
        <f>IF(H2=0,"",G2/H2)</f>
        <v/>
      </c>
      <c r="J2" s="2">
        <f>IF(B2&lt;100,"Too early (under 100 impressions)",IF(C2/B2&lt;0.01,"Fix title/thumbnail (low clicks)",IF(D2=0,"Fix demo/price (clicks, no inquiries)",IF(E2=0,"Fix offer/response (inquiries, no orders)","Working - double down"))))</f>
        <v/>
      </c>
    </row>
    <row r="3">
      <c r="A3" s="2" t="inlineStr">
        <is>
          <t>Fiverr: Claude Code debugging</t>
        </is>
      </c>
      <c r="B3" s="2">
        <f>SUMIFS('Daily Metrics'!$C:$C,'Daily Metrics'!$B:$B,$A3)</f>
        <v/>
      </c>
      <c r="C3" s="2">
        <f>SUMIFS('Daily Metrics'!$D:$D,'Daily Metrics'!$B:$B,$A3)</f>
        <v/>
      </c>
      <c r="D3" s="2">
        <f>SUMIFS('Daily Metrics'!$E:$E,'Daily Metrics'!$B:$B,$A3)</f>
        <v/>
      </c>
      <c r="E3" s="2">
        <f>COUNTIFS(Orders!$B:$B,$A3,Orders!$E:$E,"&gt;0")</f>
        <v/>
      </c>
      <c r="F3" s="13">
        <f>SUMIFS(Orders!$E:$E,Orders!$B:$B,$A3)</f>
        <v/>
      </c>
      <c r="G3" s="13">
        <f>SUMIFS(Orders!$K:$K,Orders!$B:$B,$A3)</f>
        <v/>
      </c>
      <c r="H3" s="2">
        <f>SUMIFS(Orders!$H:$H,Orders!$B:$B,$A3)</f>
        <v/>
      </c>
      <c r="I3" s="13">
        <f>IF(H3=0,"",G3/H3)</f>
        <v/>
      </c>
      <c r="J3" s="2">
        <f>IF(B3&lt;100,"Too early (under 100 impressions)",IF(C3/B3&lt;0.01,"Fix title/thumbnail (low clicks)",IF(D3=0,"Fix demo/price (clicks, no inquiries)",IF(E3=0,"Fix offer/response (inquiries, no orders)","Working - double down"))))</f>
        <v/>
      </c>
    </row>
    <row r="4">
      <c r="A4" s="2" t="inlineStr">
        <is>
          <t>Fiverr: Stripe fix</t>
        </is>
      </c>
      <c r="B4" s="2">
        <f>SUMIFS('Daily Metrics'!$C:$C,'Daily Metrics'!$B:$B,$A4)</f>
        <v/>
      </c>
      <c r="C4" s="2">
        <f>SUMIFS('Daily Metrics'!$D:$D,'Daily Metrics'!$B:$B,$A4)</f>
        <v/>
      </c>
      <c r="D4" s="2">
        <f>SUMIFS('Daily Metrics'!$E:$E,'Daily Metrics'!$B:$B,$A4)</f>
        <v/>
      </c>
      <c r="E4" s="2">
        <f>COUNTIFS(Orders!$B:$B,$A4,Orders!$E:$E,"&gt;0")</f>
        <v/>
      </c>
      <c r="F4" s="13">
        <f>SUMIFS(Orders!$E:$E,Orders!$B:$B,$A4)</f>
        <v/>
      </c>
      <c r="G4" s="13">
        <f>SUMIFS(Orders!$K:$K,Orders!$B:$B,$A4)</f>
        <v/>
      </c>
      <c r="H4" s="2">
        <f>SUMIFS(Orders!$H:$H,Orders!$B:$B,$A4)</f>
        <v/>
      </c>
      <c r="I4" s="13">
        <f>IF(H4=0,"",G4/H4)</f>
        <v/>
      </c>
      <c r="J4" s="2">
        <f>IF(B4&lt;100,"Too early (under 100 impressions)",IF(C4/B4&lt;0.01,"Fix title/thumbnail (low clicks)",IF(D4=0,"Fix demo/price (clicks, no inquiries)",IF(E4=0,"Fix offer/response (inquiries, no orders)","Working - double down"))))</f>
        <v/>
      </c>
    </row>
    <row r="5">
      <c r="A5" s="2" t="inlineStr">
        <is>
          <t>Fiverr: Excel/CSV cleaning</t>
        </is>
      </c>
      <c r="B5" s="2">
        <f>SUMIFS('Daily Metrics'!$C:$C,'Daily Metrics'!$B:$B,$A5)</f>
        <v/>
      </c>
      <c r="C5" s="2">
        <f>SUMIFS('Daily Metrics'!$D:$D,'Daily Metrics'!$B:$B,$A5)</f>
        <v/>
      </c>
      <c r="D5" s="2">
        <f>SUMIFS('Daily Metrics'!$E:$E,'Daily Metrics'!$B:$B,$A5)</f>
        <v/>
      </c>
      <c r="E5" s="2">
        <f>COUNTIFS(Orders!$B:$B,$A5,Orders!$E:$E,"&gt;0")</f>
        <v/>
      </c>
      <c r="F5" s="13">
        <f>SUMIFS(Orders!$E:$E,Orders!$B:$B,$A5)</f>
        <v/>
      </c>
      <c r="G5" s="13">
        <f>SUMIFS(Orders!$K:$K,Orders!$B:$B,$A5)</f>
        <v/>
      </c>
      <c r="H5" s="2">
        <f>SUMIFS(Orders!$H:$H,Orders!$B:$B,$A5)</f>
        <v/>
      </c>
      <c r="I5" s="13">
        <f>IF(H5=0,"",G5/H5)</f>
        <v/>
      </c>
      <c r="J5" s="2">
        <f>IF(B5&lt;100,"Too early (under 100 impressions)",IF(C5/B5&lt;0.01,"Fix title/thumbnail (low clicks)",IF(D5=0,"Fix demo/price (clicks, no inquiries)",IF(E5=0,"Fix offer/response (inquiries, no orders)","Working - double down"))))</f>
        <v/>
      </c>
    </row>
    <row r="6">
      <c r="A6" s="2" t="inlineStr">
        <is>
          <t>Cleaning Quote Calculator</t>
        </is>
      </c>
      <c r="B6" s="2">
        <f>SUMIFS('Daily Metrics'!$C:$C,'Daily Metrics'!$B:$B,$A6)</f>
        <v/>
      </c>
      <c r="C6" s="2">
        <f>SUMIFS('Daily Metrics'!$D:$D,'Daily Metrics'!$B:$B,$A6)</f>
        <v/>
      </c>
      <c r="D6" s="2">
        <f>SUMIFS('Daily Metrics'!$E:$E,'Daily Metrics'!$B:$B,$A6)</f>
        <v/>
      </c>
      <c r="E6" s="2">
        <f>COUNTIFS(Orders!$B:$B,$A6,Orders!$E:$E,"&gt;0")</f>
        <v/>
      </c>
      <c r="F6" s="13">
        <f>SUMIFS(Orders!$E:$E,Orders!$B:$B,$A6)</f>
        <v/>
      </c>
      <c r="G6" s="13">
        <f>SUMIFS(Orders!$K:$K,Orders!$B:$B,$A6)</f>
        <v/>
      </c>
      <c r="H6" s="2">
        <f>SUMIFS(Orders!$H:$H,Orders!$B:$B,$A6)</f>
        <v/>
      </c>
      <c r="I6" s="13">
        <f>IF(H6=0,"",G6/H6)</f>
        <v/>
      </c>
      <c r="J6" s="2">
        <f>IF(B6&lt;100,"Too early (under 100 impressions)",IF(C6/B6&lt;0.01,"Fix title/thumbnail (low clicks)",IF(D6=0,"Fix demo/price (clicks, no inquiries)",IF(E6=0,"Fix offer/response (inquiries, no orders)","Working - double down"))))</f>
        <v/>
      </c>
    </row>
    <row r="7">
      <c r="A7" s="2" t="inlineStr">
        <is>
          <t>n8n pack: Agency Onboarding</t>
        </is>
      </c>
      <c r="B7" s="2">
        <f>SUMIFS('Daily Metrics'!$C:$C,'Daily Metrics'!$B:$B,$A7)</f>
        <v/>
      </c>
      <c r="C7" s="2">
        <f>SUMIFS('Daily Metrics'!$D:$D,'Daily Metrics'!$B:$B,$A7)</f>
        <v/>
      </c>
      <c r="D7" s="2">
        <f>SUMIFS('Daily Metrics'!$E:$E,'Daily Metrics'!$B:$B,$A7)</f>
        <v/>
      </c>
      <c r="E7" s="2">
        <f>COUNTIFS(Orders!$B:$B,$A7,Orders!$E:$E,"&gt;0")</f>
        <v/>
      </c>
      <c r="F7" s="13">
        <f>SUMIFS(Orders!$E:$E,Orders!$B:$B,$A7)</f>
        <v/>
      </c>
      <c r="G7" s="13">
        <f>SUMIFS(Orders!$K:$K,Orders!$B:$B,$A7)</f>
        <v/>
      </c>
      <c r="H7" s="2">
        <f>SUMIFS(Orders!$H:$H,Orders!$B:$B,$A7)</f>
        <v/>
      </c>
      <c r="I7" s="13">
        <f>IF(H7=0,"",G7/H7)</f>
        <v/>
      </c>
      <c r="J7" s="2">
        <f>IF(B7&lt;100,"Too early (under 100 impressions)",IF(C7/B7&lt;0.01,"Fix title/thumbnail (low clicks)",IF(D7=0,"Fix demo/price (clicks, no inquiries)",IF(E7=0,"Fix offer/response (inquiries, no orders)","Working - double down"))))</f>
        <v/>
      </c>
    </row>
    <row r="8">
      <c r="A8" s="2" t="inlineStr">
        <is>
          <t>n8n pack: Cleaning Lead-to-Booking</t>
        </is>
      </c>
      <c r="B8" s="2">
        <f>SUMIFS('Daily Metrics'!$C:$C,'Daily Metrics'!$B:$B,$A8)</f>
        <v/>
      </c>
      <c r="C8" s="2">
        <f>SUMIFS('Daily Metrics'!$D:$D,'Daily Metrics'!$B:$B,$A8)</f>
        <v/>
      </c>
      <c r="D8" s="2">
        <f>SUMIFS('Daily Metrics'!$E:$E,'Daily Metrics'!$B:$B,$A8)</f>
        <v/>
      </c>
      <c r="E8" s="2">
        <f>COUNTIFS(Orders!$B:$B,$A8,Orders!$E:$E,"&gt;0")</f>
        <v/>
      </c>
      <c r="F8" s="13">
        <f>SUMIFS(Orders!$E:$E,Orders!$B:$B,$A8)</f>
        <v/>
      </c>
      <c r="G8" s="13">
        <f>SUMIFS(Orders!$K:$K,Orders!$B:$B,$A8)</f>
        <v/>
      </c>
      <c r="H8" s="2">
        <f>SUMIFS(Orders!$H:$H,Orders!$B:$B,$A8)</f>
        <v/>
      </c>
      <c r="I8" s="13">
        <f>IF(H8=0,"",G8/H8)</f>
        <v/>
      </c>
      <c r="J8" s="2">
        <f>IF(B8&lt;100,"Too early (under 100 impressions)",IF(C8/B8&lt;0.01,"Fix title/thumbnail (low clicks)",IF(D8=0,"Fix demo/price (clicks, no inquiries)",IF(E8=0,"Fix offer/response (inquiries, no orders)","Working - double down"))))</f>
        <v/>
      </c>
    </row>
    <row r="9">
      <c r="A9" s="2" t="inlineStr">
        <is>
          <t>Other</t>
        </is>
      </c>
      <c r="B9" s="2">
        <f>SUMIFS('Daily Metrics'!$C:$C,'Daily Metrics'!$B:$B,$A9)</f>
        <v/>
      </c>
      <c r="C9" s="2">
        <f>SUMIFS('Daily Metrics'!$D:$D,'Daily Metrics'!$B:$B,$A9)</f>
        <v/>
      </c>
      <c r="D9" s="2">
        <f>SUMIFS('Daily Metrics'!$E:$E,'Daily Metrics'!$B:$B,$A9)</f>
        <v/>
      </c>
      <c r="E9" s="2">
        <f>COUNTIFS(Orders!$B:$B,$A9,Orders!$E:$E,"&gt;0")</f>
        <v/>
      </c>
      <c r="F9" s="13">
        <f>SUMIFS(Orders!$E:$E,Orders!$B:$B,$A9)</f>
        <v/>
      </c>
      <c r="G9" s="13">
        <f>SUMIFS(Orders!$K:$K,Orders!$B:$B,$A9)</f>
        <v/>
      </c>
      <c r="H9" s="2">
        <f>SUMIFS(Orders!$H:$H,Orders!$B:$B,$A9)</f>
        <v/>
      </c>
      <c r="I9" s="13">
        <f>IF(H9=0,"",G9/H9)</f>
        <v/>
      </c>
      <c r="J9" s="2">
        <f>IF(B9&lt;100,"Too early (under 100 impressions)",IF(C9/B9&lt;0.01,"Fix title/thumbnail (low clicks)",IF(D9=0,"Fix demo/price (clicks, no inquiries)",IF(E9=0,"Fix offer/response (inquiries, no orders)","Working - double down"))))</f>
        <v/>
      </c>
    </row>
    <row r="10">
      <c r="A10" s="14" t="inlineStr">
        <is>
          <t>TOTAL</t>
        </is>
      </c>
      <c r="B10" s="14">
        <f>SUM(B2:B9)</f>
        <v/>
      </c>
      <c r="C10" s="14">
        <f>SUM(C2:C9)</f>
        <v/>
      </c>
      <c r="D10" s="14">
        <f>SUM(D2:D9)</f>
        <v/>
      </c>
      <c r="E10" s="14">
        <f>SUM(E2:E9)</f>
        <v/>
      </c>
      <c r="F10" s="15">
        <f>SUM(F2:F9)</f>
        <v/>
      </c>
      <c r="G10" s="15">
        <f>SUM(G2:G9)</f>
        <v/>
      </c>
      <c r="H10" s="14">
        <f>SUM(H2:H9)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14" t="inlineStr">
        <is>
          <t>Offers</t>
        </is>
      </c>
    </row>
    <row r="2">
      <c r="A2" t="inlineStr">
        <is>
          <t>Fiverr: n8n/Make/Zapier fix</t>
        </is>
      </c>
    </row>
    <row r="3">
      <c r="A3" t="inlineStr">
        <is>
          <t>Fiverr: Claude Code debugging</t>
        </is>
      </c>
    </row>
    <row r="4">
      <c r="A4" t="inlineStr">
        <is>
          <t>Fiverr: Stripe fix</t>
        </is>
      </c>
    </row>
    <row r="5">
      <c r="A5" t="inlineStr">
        <is>
          <t>Fiverr: Excel/CSV cleaning</t>
        </is>
      </c>
    </row>
    <row r="6">
      <c r="A6" t="inlineStr">
        <is>
          <t>Cleaning Quote Calculator</t>
        </is>
      </c>
    </row>
    <row r="7">
      <c r="A7" t="inlineStr">
        <is>
          <t>n8n pack: Agency Onboarding</t>
        </is>
      </c>
    </row>
    <row r="8">
      <c r="A8" t="inlineStr">
        <is>
          <t>n8n pack: Cleaning Lead-to-Booking</t>
        </is>
      </c>
    </row>
    <row r="9">
      <c r="A9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2026-10-09T01:59:21Z</dcterms:created>
  <dcterms:modified xmlns:dcterms="http://purl.org/dc/terms/" xmlns:xsi="http://www.w3.org/2001/XMLSchema-instance" xsi:type="dcterms:W3CDTF">2026-10-09T01:59:21Z</dcterms:modified>
</cp:coreProperties>
</file>